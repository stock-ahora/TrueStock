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erdo\Desktop\documentacion truestock\DOCUMENTOS FASE1\"/>
    </mc:Choice>
  </mc:AlternateContent>
  <xr:revisionPtr revIDLastSave="0" documentId="13_ncr:1_{93F2ADA2-2D96-4A36-AB89-70AFB77BD7A8}"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E7" i="1" s="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<sst xmlns="http://schemas.openxmlformats.org/spreadsheetml/2006/main" count="158" uniqueCount="99">
  <si>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</si>
  <si>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</si>
  <si>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</si>
  <si>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</si>
  <si>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</si>
  <si>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</si>
  <si>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</si>
  <si>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</si>
  <si>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</si>
  <si>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</si>
  <si>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</si>
  <si>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</si>
  <si>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</si>
  <si>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</si>
  <si>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</si>
  <si>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</si>
  <si>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</si>
  <si>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</si>
  <si>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</si>
  <si>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</si>
  <si>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</si>
  <si>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</si>
  <si>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</si>
  <si>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</si>
  <si>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</si>
  <si>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</si>
  <si>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</si>
  <si>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</si>
  <si>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</si>
  <si>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</si>
  <si>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</si>
  <si>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</si>
  <si>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</si>
  <si>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</si>
  <si>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</si>
  <si>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</si>
  <si>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</si>
  <si>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</si>
  <si>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</si>
  <si>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</si>
  <si>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</si>
  <si>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</si>
  <si>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</si>
  <si>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</si>
  <si>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</si>
  <si>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</si>
  <si>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</si>
  <si>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</si>
  <si>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</si>
  <si>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</si>
  <si>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</si>
  <si>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</si>
  <si>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</si>
  <si>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</si>
  <si>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</si>
  <si>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</si>
  <si>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</si>
  <si>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</si>
  <si>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</si>
  <si>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</si>
  <si>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</si>
  <si>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</si>
  <si>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</si>
  <si>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</si>
  <si>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</si>
  <si>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</si>
  <si>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</si>
  <si>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</si>
  <si>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</si>
  <si>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</si>
  <si>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</si>
  <si>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</si>
  <si>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</si>
  <si>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</si>
  <si>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</si>
  <si>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</si>
  <si>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</si>
  <si>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</si>
  <si>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</si>
  <si>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</si>
  <si>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</si>
  <si>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</si>
  <si>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</si>
  <si>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</si>
  <si>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</si>
  <si>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</si>
  <si>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</si>
  <si>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</si>
  <si>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</si>
  <si>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</si>
  <si>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</si>
  <si>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</si>
  <si>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</si>
  <si>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</si>
  <si>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</si>
  <si>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Williams Briones</t>
  </si>
  <si>
    <t>Augusto Pfeifer</t>
  </si>
  <si>
    <t>Daniel Martinez</t>
  </si>
  <si>
    <t>Sergio Mellado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</si>
</sst>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G4" sqref="G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t="s">
        <v>97</v>
      </c>
      <c r="C6" s="6">
        <f>EVALUACION1!$C$24</f>
        <v>7</v>
      </c>
      <c r="D6" s="6">
        <f>C58</f>
        <v>7</v>
      </c>
      <c r="E6" s="43">
        <f t="shared" si="0"/>
        <v>7</v>
      </c>
      <c r="G6" s="1"/>
    </row>
    <row r="7" spans="1:11" ht="15" customHeight="1" x14ac:dyDescent="0.3">
      <c r="A7" s="5">
        <v>4</v>
      </c>
      <c r="B7" s="32" t="s">
        <v>98</v>
      </c>
      <c r="C7" s="6">
        <f>EVALUACION1!$C$24</f>
        <v>7</v>
      </c>
      <c r="D7" s="6">
        <v>7</v>
      </c>
      <c r="E7" s="43">
        <f t="shared" ref="E7" si="1">C7*C$2+D7*D$2</f>
        <v>7</v>
      </c>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 customHeight="1" outlineLevel="1" x14ac:dyDescent="0.3">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14.4" outlineLevel="1" x14ac:dyDescent="0.3">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14.4" outlineLevel="1" x14ac:dyDescent="0.3">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3">IF($C17=CL,"X","")</f>
        <v>X</v>
      </c>
      <c r="E17" s="16">
        <f t="shared" ref="E17" si="14">IF(D17="X",100*0.1,"")</f>
        <v>10</v>
      </c>
      <c r="F17" s="16" t="str">
        <f t="shared" ref="F17:F22" si="15">IF($C17=L,"X","")</f>
        <v/>
      </c>
      <c r="G17" s="16" t="str">
        <f t="shared" ref="G17" si="16">IF(F17="X",60*0.1,"")</f>
        <v/>
      </c>
      <c r="H17" s="16" t="str">
        <f t="shared" ref="H17:H22" si="17">IF($C17=ML,"X","")</f>
        <v/>
      </c>
      <c r="I17" s="16" t="str">
        <f t="shared" ref="I17" si="18">IF(H17="X",30*0.1,"")</f>
        <v/>
      </c>
      <c r="J17" s="16" t="str">
        <f t="shared" ref="J17:J22" si="19">IF($C17=NL,"X","")</f>
        <v/>
      </c>
      <c r="K17" s="16" t="str">
        <f t="shared" ref="K17:K22" si="20">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3"/>
        <v>X</v>
      </c>
      <c r="E18" s="16">
        <f t="shared" ref="E18" si="21">IF(D18="X",100*0.1,"")</f>
        <v>10</v>
      </c>
      <c r="F18" s="16" t="str">
        <f t="shared" si="15"/>
        <v/>
      </c>
      <c r="G18" s="16" t="str">
        <f t="shared" ref="G18" si="22">IF(F18="X",60*0.1,"")</f>
        <v/>
      </c>
      <c r="H18" s="16" t="str">
        <f t="shared" si="17"/>
        <v/>
      </c>
      <c r="I18" s="16" t="str">
        <f t="shared" ref="I18" si="23">IF(H18="X",30*0.1,"")</f>
        <v/>
      </c>
      <c r="J18" s="16" t="str">
        <f t="shared" si="19"/>
        <v/>
      </c>
      <c r="K18" s="16" t="str">
        <f t="shared" si="20"/>
        <v/>
      </c>
    </row>
    <row r="19" spans="1:11" ht="24" outlineLevel="1" x14ac:dyDescent="0.3">
      <c r="A19" s="65"/>
      <c r="B19" s="35" t="str">
        <f>RUBRICA!A12</f>
        <v>8. Determina evidencias, justificando cómo estas dan cuenta del logro de las actividades del Proyecto APT.</v>
      </c>
      <c r="C19" s="33" t="s">
        <v>7</v>
      </c>
      <c r="D19" s="16" t="str">
        <f t="shared" si="13"/>
        <v>X</v>
      </c>
      <c r="E19" s="16">
        <f>IF(D19="X",100*0.05,"")</f>
        <v>5</v>
      </c>
      <c r="F19" s="16" t="str">
        <f t="shared" si="15"/>
        <v/>
      </c>
      <c r="G19" s="16" t="str">
        <f t="shared" ref="G19" si="24">IF(F19="X",60*0.05,"")</f>
        <v/>
      </c>
      <c r="H19" s="16" t="str">
        <f t="shared" si="17"/>
        <v/>
      </c>
      <c r="I19" s="16" t="str">
        <f t="shared" ref="I19" si="25">IF(H19="X",30*0.05,"")</f>
        <v/>
      </c>
      <c r="J19" s="16" t="str">
        <f t="shared" si="19"/>
        <v/>
      </c>
      <c r="K19" s="16" t="str">
        <f t="shared" si="20"/>
        <v/>
      </c>
    </row>
    <row r="20" spans="1:11" ht="24" outlineLevel="1" x14ac:dyDescent="0.3">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15"/>
        <v/>
      </c>
      <c r="G20" s="16" t="str">
        <f t="shared" si="11"/>
        <v/>
      </c>
      <c r="H20" s="16" t="str">
        <f t="shared" si="17"/>
        <v/>
      </c>
      <c r="I20" s="16" t="str">
        <f t="shared" si="12"/>
        <v/>
      </c>
      <c r="J20" s="16" t="str">
        <f t="shared" si="19"/>
        <v/>
      </c>
      <c r="K20" s="16" t="str">
        <f t="shared" si="20"/>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3"/>
        <v>X</v>
      </c>
      <c r="E21" s="16">
        <f t="shared" si="10"/>
        <v>5</v>
      </c>
      <c r="F21" s="16" t="str">
        <f t="shared" si="15"/>
        <v/>
      </c>
      <c r="G21" s="16" t="str">
        <f t="shared" si="11"/>
        <v/>
      </c>
      <c r="H21" s="16" t="str">
        <f t="shared" si="17"/>
        <v/>
      </c>
      <c r="I21" s="16" t="str">
        <f t="shared" si="12"/>
        <v/>
      </c>
      <c r="J21" s="16" t="str">
        <f t="shared" si="19"/>
        <v/>
      </c>
      <c r="K21" s="16" t="str">
        <f t="shared" si="20"/>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3"/>
        <v>X</v>
      </c>
      <c r="E22" s="16">
        <f>IF(D22="X",100*0.1,"")</f>
        <v>10</v>
      </c>
      <c r="F22" s="16" t="str">
        <f t="shared" si="15"/>
        <v/>
      </c>
      <c r="G22" s="16" t="str">
        <f>IF(F22="X",60*0.1,"")</f>
        <v/>
      </c>
      <c r="H22" s="16" t="str">
        <f t="shared" si="17"/>
        <v/>
      </c>
      <c r="I22" s="16" t="str">
        <f>IF(H22="X",30*0.1,"")</f>
        <v/>
      </c>
      <c r="J22" s="16" t="str">
        <f t="shared" si="19"/>
        <v/>
      </c>
      <c r="K22" s="16" t="str">
        <f t="shared" si="20"/>
        <v/>
      </c>
    </row>
    <row r="23" spans="1:11" ht="15.75" customHeight="1" outlineLevel="1" x14ac:dyDescent="0.3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0" t="s">
        <v>13</v>
      </c>
      <c r="B27" s="49" t="s">
        <v>14</v>
      </c>
      <c r="C27" s="52" t="str">
        <f>$B$4</f>
        <v>Williams Briones</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Augusto Pfeifer</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Daniel Martinez</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3">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3" priority="3" operator="lessThan">
      <formula>4</formula>
    </cfRule>
    <cfRule type="cellIs" dxfId="2" priority="4" operator="lessThan">
      <formula>1</formula>
    </cfRule>
  </conditionalFormatting>
  <conditionalFormatting sqref="C7: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7"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SERGIO ANTONIO MELLADO SALAZAR</cp:lastModifiedBy>
  <cp:revision/>
  <dcterms:created xsi:type="dcterms:W3CDTF">2023-08-07T04:08:01Z</dcterms:created>
  <dcterms:modified xsi:type="dcterms:W3CDTF">2025-11-26T02:44:00Z</dcterms:modified>
  <cp:category/>
  <cp:contentStatus/>
</cp:coreProperties>
</file>