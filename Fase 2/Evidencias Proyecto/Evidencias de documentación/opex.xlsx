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X_Detail" sheetId="1" r:id="rId4"/>
    <sheet state="visible" name="Summary_by_Environment" sheetId="2" r:id="rId5"/>
  </sheets>
  <definedNames/>
  <calcPr/>
</workbook>
</file>

<file path=xl/sharedStrings.xml><?xml version="1.0" encoding="utf-8"?>
<sst xmlns="http://schemas.openxmlformats.org/spreadsheetml/2006/main" count="101" uniqueCount="51">
  <si>
    <t>Ambiente</t>
  </si>
  <si>
    <t>Categoria</t>
  </si>
  <si>
    <t>Servicio o rol</t>
  </si>
  <si>
    <t>Cantidad</t>
  </si>
  <si>
    <t>Costo unitario en USD</t>
  </si>
  <si>
    <t>Costo mensual USD</t>
  </si>
  <si>
    <t>Prod</t>
  </si>
  <si>
    <t>Compute</t>
  </si>
  <si>
    <t>ECS t3.medium</t>
  </si>
  <si>
    <t>Dev/QA</t>
  </si>
  <si>
    <t>ECS t3.small</t>
  </si>
  <si>
    <t>Database</t>
  </si>
  <si>
    <t>RDS db.t3.medium</t>
  </si>
  <si>
    <t>RDS db.t3.micro</t>
  </si>
  <si>
    <t>Networking</t>
  </si>
  <si>
    <t>NAT Gateway usage</t>
  </si>
  <si>
    <t>NAT Gateway data</t>
  </si>
  <si>
    <t>Application Load Balancer</t>
  </si>
  <si>
    <t>Storage</t>
  </si>
  <si>
    <t>S3 Standard</t>
  </si>
  <si>
    <t>Shared</t>
  </si>
  <si>
    <t>S3 Glacier Instant Retrieval</t>
  </si>
  <si>
    <t>API Gateway</t>
  </si>
  <si>
    <t>HTTP API requests</t>
  </si>
  <si>
    <t>API data transfer</t>
  </si>
  <si>
    <t>Lambda</t>
  </si>
  <si>
    <t>Lambda requests</t>
  </si>
  <si>
    <t>Lambda compute</t>
  </si>
  <si>
    <t>Cognito</t>
  </si>
  <si>
    <t>Cognito MAUs</t>
  </si>
  <si>
    <t>AI/ML</t>
  </si>
  <si>
    <t>Textract pages</t>
  </si>
  <si>
    <t>Bedrock input tokens</t>
  </si>
  <si>
    <t>Bedrock output tokens</t>
  </si>
  <si>
    <t>Security</t>
  </si>
  <si>
    <t>Secrets stored</t>
  </si>
  <si>
    <t>Secrets API calls</t>
  </si>
  <si>
    <t>DynamoDB storage</t>
  </si>
  <si>
    <t>DynamoDB read units</t>
  </si>
  <si>
    <t>DynamoDB write units</t>
  </si>
  <si>
    <t>Pritunl VPN EC2 t3.micro</t>
  </si>
  <si>
    <t>Container Registry</t>
  </si>
  <si>
    <t>ECR storage</t>
  </si>
  <si>
    <t>CDN/DNS</t>
  </si>
  <si>
    <t>CloudFront data transfer</t>
  </si>
  <si>
    <t>People</t>
  </si>
  <si>
    <t>Operations</t>
  </si>
  <si>
    <t>Backoffice staff</t>
  </si>
  <si>
    <t>Total mensual USD</t>
  </si>
  <si>
    <t>Total anual USD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</si>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</sst>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1" numFmtId="0" xfId="0" applyBorder="1" applyFont="1"/>
    <xf borderId="1" fillId="0" fontId="1" numFmtId="164" xfId="0" applyBorder="1" applyFont="1" applyNumberFormat="1"/>
    <xf borderId="0" fillId="3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71"/>
    <col customWidth="1" min="3" max="3" width="23.86"/>
    <col customWidth="1" min="4" max="4" width="13.29"/>
    <col customWidth="1" min="5" max="5" width="19.71"/>
    <col customWidth="1" min="6" max="6" width="17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2190.0</v>
      </c>
      <c r="E2" s="3">
        <v>0.042</v>
      </c>
      <c r="F2" s="3">
        <v>91.98</v>
      </c>
    </row>
    <row r="3">
      <c r="A3" s="2" t="s">
        <v>9</v>
      </c>
      <c r="B3" s="2" t="s">
        <v>7</v>
      </c>
      <c r="C3" s="2" t="s">
        <v>10</v>
      </c>
      <c r="D3" s="3">
        <v>730.0</v>
      </c>
      <c r="E3" s="3">
        <v>0.021</v>
      </c>
      <c r="F3" s="3">
        <v>15.33</v>
      </c>
    </row>
    <row r="4">
      <c r="A4" s="2" t="s">
        <v>6</v>
      </c>
      <c r="B4" s="2" t="s">
        <v>11</v>
      </c>
      <c r="C4" s="2" t="s">
        <v>12</v>
      </c>
      <c r="D4" s="3">
        <v>1460.0</v>
      </c>
      <c r="E4" s="3">
        <v>0.072</v>
      </c>
      <c r="F4" s="3">
        <v>105.12</v>
      </c>
    </row>
    <row r="5">
      <c r="A5" s="2" t="s">
        <v>9</v>
      </c>
      <c r="B5" s="2" t="s">
        <v>11</v>
      </c>
      <c r="C5" s="2" t="s">
        <v>13</v>
      </c>
      <c r="D5" s="3">
        <v>730.0</v>
      </c>
      <c r="E5" s="3">
        <v>0.017</v>
      </c>
      <c r="F5" s="3">
        <v>12.41</v>
      </c>
    </row>
    <row r="6">
      <c r="A6" s="2" t="s">
        <v>6</v>
      </c>
      <c r="B6" s="2" t="s">
        <v>14</v>
      </c>
      <c r="C6" s="2" t="s">
        <v>15</v>
      </c>
      <c r="D6" s="3">
        <v>2190.0</v>
      </c>
      <c r="E6" s="3">
        <v>0.045</v>
      </c>
      <c r="F6" s="3">
        <v>98.55</v>
      </c>
    </row>
    <row r="7">
      <c r="A7" s="2" t="s">
        <v>6</v>
      </c>
      <c r="B7" s="2" t="s">
        <v>14</v>
      </c>
      <c r="C7" s="2" t="s">
        <v>16</v>
      </c>
      <c r="D7" s="3">
        <v>50.0</v>
      </c>
      <c r="E7" s="3">
        <v>0.045</v>
      </c>
      <c r="F7" s="3">
        <v>2.25</v>
      </c>
    </row>
    <row r="8">
      <c r="A8" s="2" t="s">
        <v>9</v>
      </c>
      <c r="B8" s="2" t="s">
        <v>14</v>
      </c>
      <c r="C8" s="2" t="s">
        <v>15</v>
      </c>
      <c r="D8" s="3">
        <v>730.0</v>
      </c>
      <c r="E8" s="3">
        <v>0.045</v>
      </c>
      <c r="F8" s="3">
        <v>32.85</v>
      </c>
    </row>
    <row r="9">
      <c r="A9" s="2" t="s">
        <v>9</v>
      </c>
      <c r="B9" s="2" t="s">
        <v>14</v>
      </c>
      <c r="C9" s="2" t="s">
        <v>16</v>
      </c>
      <c r="D9" s="3">
        <v>10.0</v>
      </c>
      <c r="E9" s="3">
        <v>0.045</v>
      </c>
      <c r="F9" s="3">
        <v>0.45</v>
      </c>
    </row>
    <row r="10">
      <c r="A10" s="2" t="s">
        <v>6</v>
      </c>
      <c r="B10" s="2" t="s">
        <v>14</v>
      </c>
      <c r="C10" s="2" t="s">
        <v>17</v>
      </c>
      <c r="D10" s="3">
        <v>730.0</v>
      </c>
      <c r="E10" s="3">
        <v>0.025</v>
      </c>
      <c r="F10" s="3">
        <v>18.25</v>
      </c>
    </row>
    <row r="11">
      <c r="A11" s="2" t="s">
        <v>6</v>
      </c>
      <c r="B11" s="2" t="s">
        <v>18</v>
      </c>
      <c r="C11" s="2" t="s">
        <v>19</v>
      </c>
      <c r="D11" s="3">
        <v>50.0</v>
      </c>
      <c r="E11" s="3">
        <v>0.023</v>
      </c>
      <c r="F11" s="3">
        <v>1.15</v>
      </c>
    </row>
    <row r="12">
      <c r="A12" s="2" t="s">
        <v>9</v>
      </c>
      <c r="B12" s="2" t="s">
        <v>18</v>
      </c>
      <c r="C12" s="2" t="s">
        <v>19</v>
      </c>
      <c r="D12" s="3">
        <v>10.0</v>
      </c>
      <c r="E12" s="3">
        <v>0.023</v>
      </c>
      <c r="F12" s="3">
        <v>0.23</v>
      </c>
    </row>
    <row r="13">
      <c r="A13" s="2" t="s">
        <v>20</v>
      </c>
      <c r="B13" s="2" t="s">
        <v>18</v>
      </c>
      <c r="C13" s="2" t="s">
        <v>21</v>
      </c>
      <c r="D13" s="3">
        <v>10.0</v>
      </c>
      <c r="E13" s="3">
        <v>0.004</v>
      </c>
      <c r="F13" s="3">
        <v>0.04</v>
      </c>
    </row>
    <row r="14">
      <c r="A14" s="2" t="s">
        <v>6</v>
      </c>
      <c r="B14" s="2" t="s">
        <v>22</v>
      </c>
      <c r="C14" s="2" t="s">
        <v>23</v>
      </c>
      <c r="D14" s="3">
        <v>100000.0</v>
      </c>
      <c r="E14" s="3">
        <v>1.0E-6</v>
      </c>
      <c r="F14" s="3">
        <v>0.09999999999999999</v>
      </c>
    </row>
    <row r="15">
      <c r="A15" s="2" t="s">
        <v>6</v>
      </c>
      <c r="B15" s="2" t="s">
        <v>22</v>
      </c>
      <c r="C15" s="2" t="s">
        <v>24</v>
      </c>
      <c r="D15" s="3">
        <v>10.0</v>
      </c>
      <c r="E15" s="3">
        <v>0.09</v>
      </c>
      <c r="F15" s="3">
        <v>0.8999999999999999</v>
      </c>
    </row>
    <row r="16">
      <c r="A16" s="2" t="s">
        <v>6</v>
      </c>
      <c r="B16" s="2" t="s">
        <v>25</v>
      </c>
      <c r="C16" s="2" t="s">
        <v>26</v>
      </c>
      <c r="D16" s="3">
        <v>100000.0</v>
      </c>
      <c r="E16" s="3">
        <v>2.0E-7</v>
      </c>
      <c r="F16" s="3">
        <v>0.02</v>
      </c>
    </row>
    <row r="17">
      <c r="A17" s="2" t="s">
        <v>6</v>
      </c>
      <c r="B17" s="2" t="s">
        <v>25</v>
      </c>
      <c r="C17" s="2" t="s">
        <v>27</v>
      </c>
      <c r="D17" s="3">
        <v>5000000.0</v>
      </c>
      <c r="E17" s="3">
        <v>2.1E-8</v>
      </c>
      <c r="F17" s="3">
        <v>0.105</v>
      </c>
    </row>
    <row r="18">
      <c r="A18" s="2" t="s">
        <v>20</v>
      </c>
      <c r="B18" s="2" t="s">
        <v>28</v>
      </c>
      <c r="C18" s="2" t="s">
        <v>29</v>
      </c>
      <c r="D18" s="3">
        <v>3000.0</v>
      </c>
      <c r="E18" s="3">
        <v>0.0</v>
      </c>
      <c r="F18" s="3">
        <v>0.0</v>
      </c>
    </row>
    <row r="19">
      <c r="A19" s="2" t="s">
        <v>20</v>
      </c>
      <c r="B19" s="2" t="s">
        <v>30</v>
      </c>
      <c r="C19" s="2" t="s">
        <v>31</v>
      </c>
      <c r="D19" s="3">
        <v>5000.0</v>
      </c>
      <c r="E19" s="3">
        <v>0.0015</v>
      </c>
      <c r="F19" s="3">
        <v>7.5</v>
      </c>
    </row>
    <row r="20">
      <c r="A20" s="2" t="s">
        <v>20</v>
      </c>
      <c r="B20" s="2" t="s">
        <v>30</v>
      </c>
      <c r="C20" s="2" t="s">
        <v>32</v>
      </c>
      <c r="D20" s="3">
        <v>750000.0</v>
      </c>
      <c r="E20" s="3">
        <v>3.0E-6</v>
      </c>
      <c r="F20" s="3">
        <v>2.25</v>
      </c>
    </row>
    <row r="21" ht="15.75" customHeight="1">
      <c r="A21" s="2" t="s">
        <v>20</v>
      </c>
      <c r="B21" s="2" t="s">
        <v>30</v>
      </c>
      <c r="C21" s="2" t="s">
        <v>33</v>
      </c>
      <c r="D21" s="3">
        <v>750000.0</v>
      </c>
      <c r="E21" s="3">
        <v>1.5E-5</v>
      </c>
      <c r="F21" s="3">
        <v>11.25</v>
      </c>
    </row>
    <row r="22" ht="15.75" customHeight="1">
      <c r="A22" s="2" t="s">
        <v>20</v>
      </c>
      <c r="B22" s="2" t="s">
        <v>34</v>
      </c>
      <c r="C22" s="2" t="s">
        <v>35</v>
      </c>
      <c r="D22" s="3">
        <v>10.0</v>
      </c>
      <c r="E22" s="3">
        <v>0.4</v>
      </c>
      <c r="F22" s="3">
        <v>4.0</v>
      </c>
    </row>
    <row r="23" ht="15.75" customHeight="1">
      <c r="A23" s="2" t="s">
        <v>20</v>
      </c>
      <c r="B23" s="2" t="s">
        <v>34</v>
      </c>
      <c r="C23" s="2" t="s">
        <v>36</v>
      </c>
      <c r="D23" s="3">
        <v>100000.0</v>
      </c>
      <c r="E23" s="3">
        <v>5.0E-6</v>
      </c>
      <c r="F23" s="3">
        <v>0.5</v>
      </c>
    </row>
    <row r="24" ht="15.75" customHeight="1">
      <c r="A24" s="2" t="s">
        <v>20</v>
      </c>
      <c r="B24" s="2" t="s">
        <v>11</v>
      </c>
      <c r="C24" s="2" t="s">
        <v>37</v>
      </c>
      <c r="D24" s="3">
        <v>5.0</v>
      </c>
      <c r="E24" s="3">
        <v>0.25</v>
      </c>
      <c r="F24" s="3">
        <v>1.25</v>
      </c>
    </row>
    <row r="25" ht="15.75" customHeight="1">
      <c r="A25" s="2" t="s">
        <v>20</v>
      </c>
      <c r="B25" s="2" t="s">
        <v>11</v>
      </c>
      <c r="C25" s="2" t="s">
        <v>38</v>
      </c>
      <c r="D25" s="3">
        <v>100000.0</v>
      </c>
      <c r="E25" s="3">
        <v>2.5E-7</v>
      </c>
      <c r="F25" s="3">
        <v>0.025</v>
      </c>
    </row>
    <row r="26" ht="15.75" customHeight="1">
      <c r="A26" s="2" t="s">
        <v>20</v>
      </c>
      <c r="B26" s="2" t="s">
        <v>11</v>
      </c>
      <c r="C26" s="2" t="s">
        <v>39</v>
      </c>
      <c r="D26" s="3">
        <v>50000.0</v>
      </c>
      <c r="E26" s="3">
        <v>1.25E-6</v>
      </c>
      <c r="F26" s="3">
        <v>0.0625</v>
      </c>
    </row>
    <row r="27" ht="15.75" customHeight="1">
      <c r="A27" s="2" t="s">
        <v>20</v>
      </c>
      <c r="B27" s="2" t="s">
        <v>14</v>
      </c>
      <c r="C27" s="2" t="s">
        <v>40</v>
      </c>
      <c r="D27" s="3">
        <v>730.0</v>
      </c>
      <c r="E27" s="3">
        <v>0.01</v>
      </c>
      <c r="F27" s="3">
        <v>7.3</v>
      </c>
    </row>
    <row r="28" ht="15.75" customHeight="1">
      <c r="A28" s="2" t="s">
        <v>20</v>
      </c>
      <c r="B28" s="2" t="s">
        <v>41</v>
      </c>
      <c r="C28" s="2" t="s">
        <v>42</v>
      </c>
      <c r="D28" s="3">
        <v>10.0</v>
      </c>
      <c r="E28" s="3">
        <v>0.1</v>
      </c>
      <c r="F28" s="3">
        <v>1.0</v>
      </c>
    </row>
    <row r="29" ht="15.75" customHeight="1">
      <c r="A29" s="2" t="s">
        <v>20</v>
      </c>
      <c r="B29" s="2" t="s">
        <v>43</v>
      </c>
      <c r="C29" s="2" t="s">
        <v>44</v>
      </c>
      <c r="D29" s="3">
        <v>50.0</v>
      </c>
      <c r="E29" s="3">
        <v>0.085</v>
      </c>
      <c r="F29" s="3">
        <v>4.25</v>
      </c>
    </row>
    <row r="30" ht="15.75" customHeight="1">
      <c r="A30" s="2" t="s">
        <v>45</v>
      </c>
      <c r="B30" s="2" t="s">
        <v>46</v>
      </c>
      <c r="C30" s="2" t="s">
        <v>47</v>
      </c>
      <c r="D30" s="3" t="str">
        <f>O16</f>
        <v/>
      </c>
      <c r="E30" s="3" t="str">
        <f>O18</f>
        <v/>
      </c>
      <c r="F30" s="3" t="str">
        <f>O17</f>
        <v/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14.43"/>
    <col customWidth="1" min="4" max="26" width="8.71"/>
  </cols>
  <sheetData>
    <row r="1">
      <c r="A1" s="4" t="s">
        <v>0</v>
      </c>
      <c r="B1" s="4" t="s">
        <v>48</v>
      </c>
      <c r="C1" s="4" t="s">
        <v>49</v>
      </c>
    </row>
    <row r="2">
      <c r="A2" s="2" t="s">
        <v>9</v>
      </c>
      <c r="B2" s="2">
        <v>61.27</v>
      </c>
      <c r="C2" s="2">
        <v>735.24</v>
      </c>
    </row>
    <row r="3">
      <c r="A3" s="2" t="s">
        <v>45</v>
      </c>
      <c r="B3" s="5">
        <v>100.0</v>
      </c>
      <c r="C3" s="5">
        <v>100.0</v>
      </c>
    </row>
    <row r="4">
      <c r="A4" s="2" t="s">
        <v>6</v>
      </c>
      <c r="B4" s="2">
        <v>318.425</v>
      </c>
      <c r="C4" s="2">
        <v>3821.1</v>
      </c>
    </row>
    <row r="5">
      <c r="A5" s="2" t="s">
        <v>20</v>
      </c>
      <c r="B5" s="2">
        <v>39.4275</v>
      </c>
      <c r="C5" s="2">
        <v>473.13</v>
      </c>
    </row>
    <row r="6">
      <c r="A6" s="5" t="s">
        <v>50</v>
      </c>
      <c r="B6" s="2">
        <f t="shared" ref="B6:C6" si="1">SUM(B2:B5)</f>
        <v>519.1225</v>
      </c>
      <c r="C6" s="2">
        <f t="shared" si="1"/>
        <v>5129.47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