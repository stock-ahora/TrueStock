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EX_detalle" sheetId="1" r:id="rId4"/>
    <sheet state="visible" name="Resumen_por_fase" sheetId="2" r:id="rId5"/>
    <sheet state="visible" name="Resumen_general" sheetId="3" r:id="rId6"/>
  </sheets>
  <definedNames/>
  <calcPr/>
</workbook>
</file>

<file path=xl/sharedStrings.xml><?xml version="1.0" encoding="utf-8"?>
<sst xmlns="http://schemas.openxmlformats.org/spreadsheetml/2006/main" count="107" uniqueCount="50">
  <si>
    <t>Fase</t>
  </si>
  <si>
    <t>Categoria</t>
  </si>
  <si>
    <t>Activity</t>
  </si>
  <si>
    <t>Role</t>
  </si>
  <si>
    <t>Horas</t>
  </si>
  <si>
    <t>Valor hora USD</t>
  </si>
  <si>
    <t>Cantidad</t>
  </si>
  <si>
    <t>Costo unitario</t>
  </si>
  <si>
    <t>SumTotal</t>
  </si>
  <si>
    <t>Técnico</t>
  </si>
  <si>
    <t>Toma de requisitos / UX inicial</t>
  </si>
  <si>
    <t>PO/BA</t>
  </si>
  <si>
    <t>Diseño arquitectura AWS + modelo de datos</t>
  </si>
  <si>
    <t>Arquitecto Cloud</t>
  </si>
  <si>
    <t>Prototipo API stock / endpoints base</t>
  </si>
  <si>
    <t>Backend Developer</t>
  </si>
  <si>
    <t>Evaluación OCR/AI (Textract/Bedrock)</t>
  </si>
  <si>
    <t>Data/ML Engineer</t>
  </si>
  <si>
    <t>Diseño IaC + estructura VPC/CI-CD</t>
  </si>
  <si>
    <t>DevOps Engineer</t>
  </si>
  <si>
    <t>Gestión</t>
  </si>
  <si>
    <t>Planificación del proyecto y roadmap</t>
  </si>
  <si>
    <t>Project Manager</t>
  </si>
  <si>
    <t>Gestión de stakeholders y alineación con negocio</t>
  </si>
  <si>
    <t>Reuniones de aprobación y steering inicial</t>
  </si>
  <si>
    <t>Sponsor / Dirección</t>
  </si>
  <si>
    <t>Desarrollo APIs (stock, productos, OCR)</t>
  </si>
  <si>
    <t>Desarrollo dashboard (UI, filtros, charts)</t>
  </si>
  <si>
    <t>Frontend Developer</t>
  </si>
  <si>
    <t>Integración OCR + pipeline extracción</t>
  </si>
  <si>
    <t>Infraestructura AWS (ECS/EKS/Lambda, RDS, S3, colas)</t>
  </si>
  <si>
    <t>Pruebas funcionales y regresión</t>
  </si>
  <si>
    <t>QA Engineer</t>
  </si>
  <si>
    <t>Seguimiento ejecución, sprint planning y revisión</t>
  </si>
  <si>
    <t>Ajustes finales de infraestructura</t>
  </si>
  <si>
    <t>Corrección final de APIs / bugs críticos</t>
  </si>
  <si>
    <t>Ajustes de UI / responsive / pequeños fixes</t>
  </si>
  <si>
    <t>Pruebas de aceptación y smoke tests</t>
  </si>
  <si>
    <t>Documentación funcional + capacitación</t>
  </si>
  <si>
    <t>Cierre de proyecto, reporte final y lecciones aprendidas</t>
  </si>
  <si>
    <t>Comité final de aprobación y go-live</t>
  </si>
  <si>
    <t>Equipamiento</t>
  </si>
  <si>
    <t>Notebooks equipo (4 unidades)</t>
  </si>
  <si>
    <t>Sin Rol</t>
  </si>
  <si>
    <t>Monitores externos (4 unidades)</t>
  </si>
  <si>
    <t>Sub total USD</t>
  </si>
  <si>
    <t>Rol</t>
  </si>
  <si>
    <t>Metric</t>
  </si>
  <si>
    <t>Value</t>
  </si>
  <si>
    <t>CAPEX total (USD)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</si>
</sst>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164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3.0"/>
    <col customWidth="1" min="3" max="3" width="48.0"/>
    <col customWidth="1" min="4" max="4" width="18.14"/>
    <col customWidth="1" min="5" max="5" width="6.29"/>
    <col customWidth="1" min="6" max="6" width="15.57"/>
    <col customWidth="1" min="7" max="7" width="8.86"/>
    <col customWidth="1" min="8" max="8" width="13.43"/>
    <col customWidth="1" min="9" max="9" width="13.14"/>
    <col customWidth="1" min="10" max="26" width="8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>
        <v>1.0</v>
      </c>
      <c r="B2" s="3" t="s">
        <v>9</v>
      </c>
      <c r="C2" s="3" t="s">
        <v>10</v>
      </c>
      <c r="D2" s="3" t="s">
        <v>11</v>
      </c>
      <c r="E2" s="3">
        <v>24.0</v>
      </c>
      <c r="F2" s="4">
        <v>40.0</v>
      </c>
      <c r="G2" s="3">
        <v>0.0</v>
      </c>
      <c r="H2" s="4">
        <v>0.0</v>
      </c>
      <c r="I2" s="4">
        <f t="shared" ref="I2:I24" si="1">(E2*F2)+(G2*H2)</f>
        <v>960</v>
      </c>
    </row>
    <row r="3">
      <c r="A3" s="3">
        <v>1.0</v>
      </c>
      <c r="B3" s="3" t="s">
        <v>9</v>
      </c>
      <c r="C3" s="3" t="s">
        <v>12</v>
      </c>
      <c r="D3" s="3" t="s">
        <v>13</v>
      </c>
      <c r="E3" s="3">
        <v>24.0</v>
      </c>
      <c r="F3" s="4">
        <v>55.0</v>
      </c>
      <c r="G3" s="3">
        <v>0.0</v>
      </c>
      <c r="H3" s="4">
        <v>0.0</v>
      </c>
      <c r="I3" s="4">
        <f t="shared" si="1"/>
        <v>1320</v>
      </c>
    </row>
    <row r="4">
      <c r="A4" s="3">
        <v>1.0</v>
      </c>
      <c r="B4" s="3" t="s">
        <v>9</v>
      </c>
      <c r="C4" s="3" t="s">
        <v>14</v>
      </c>
      <c r="D4" s="3" t="s">
        <v>15</v>
      </c>
      <c r="E4" s="3">
        <v>16.0</v>
      </c>
      <c r="F4" s="4">
        <v>45.0</v>
      </c>
      <c r="G4" s="3">
        <v>0.0</v>
      </c>
      <c r="H4" s="4">
        <v>0.0</v>
      </c>
      <c r="I4" s="4">
        <f t="shared" si="1"/>
        <v>720</v>
      </c>
    </row>
    <row r="5">
      <c r="A5" s="3">
        <v>1.0</v>
      </c>
      <c r="B5" s="3" t="s">
        <v>9</v>
      </c>
      <c r="C5" s="3" t="s">
        <v>16</v>
      </c>
      <c r="D5" s="3" t="s">
        <v>17</v>
      </c>
      <c r="E5" s="3">
        <v>8.0</v>
      </c>
      <c r="F5" s="4">
        <v>55.0</v>
      </c>
      <c r="G5" s="3">
        <v>0.0</v>
      </c>
      <c r="H5" s="4">
        <v>0.0</v>
      </c>
      <c r="I5" s="4">
        <f t="shared" si="1"/>
        <v>440</v>
      </c>
    </row>
    <row r="6">
      <c r="A6" s="3">
        <v>1.0</v>
      </c>
      <c r="B6" s="3" t="s">
        <v>9</v>
      </c>
      <c r="C6" s="3" t="s">
        <v>18</v>
      </c>
      <c r="D6" s="3" t="s">
        <v>19</v>
      </c>
      <c r="E6" s="3">
        <v>8.0</v>
      </c>
      <c r="F6" s="4">
        <v>50.0</v>
      </c>
      <c r="G6" s="3">
        <v>0.0</v>
      </c>
      <c r="H6" s="4">
        <v>0.0</v>
      </c>
      <c r="I6" s="4">
        <f t="shared" si="1"/>
        <v>400</v>
      </c>
    </row>
    <row r="7">
      <c r="A7" s="3">
        <v>1.0</v>
      </c>
      <c r="B7" s="3" t="s">
        <v>20</v>
      </c>
      <c r="C7" s="3" t="s">
        <v>21</v>
      </c>
      <c r="D7" s="3" t="s">
        <v>22</v>
      </c>
      <c r="E7" s="3">
        <v>24.0</v>
      </c>
      <c r="F7" s="4">
        <v>50.0</v>
      </c>
      <c r="G7" s="3">
        <v>0.0</v>
      </c>
      <c r="H7" s="4">
        <v>0.0</v>
      </c>
      <c r="I7" s="4">
        <f t="shared" si="1"/>
        <v>1200</v>
      </c>
    </row>
    <row r="8">
      <c r="A8" s="3">
        <v>1.0</v>
      </c>
      <c r="B8" s="3" t="s">
        <v>20</v>
      </c>
      <c r="C8" s="3" t="s">
        <v>23</v>
      </c>
      <c r="D8" s="3" t="s">
        <v>22</v>
      </c>
      <c r="E8" s="3">
        <v>16.0</v>
      </c>
      <c r="F8" s="4">
        <v>50.0</v>
      </c>
      <c r="G8" s="3">
        <v>0.0</v>
      </c>
      <c r="H8" s="4">
        <v>0.0</v>
      </c>
      <c r="I8" s="4">
        <f t="shared" si="1"/>
        <v>800</v>
      </c>
    </row>
    <row r="9">
      <c r="A9" s="3">
        <v>1.0</v>
      </c>
      <c r="B9" s="3" t="s">
        <v>20</v>
      </c>
      <c r="C9" s="3" t="s">
        <v>24</v>
      </c>
      <c r="D9" s="3" t="s">
        <v>25</v>
      </c>
      <c r="E9" s="3">
        <v>8.0</v>
      </c>
      <c r="F9" s="4">
        <v>60.0</v>
      </c>
      <c r="G9" s="3">
        <v>0.0</v>
      </c>
      <c r="H9" s="4">
        <v>0.0</v>
      </c>
      <c r="I9" s="4">
        <f t="shared" si="1"/>
        <v>480</v>
      </c>
    </row>
    <row r="10">
      <c r="A10" s="3">
        <v>2.0</v>
      </c>
      <c r="B10" s="3" t="s">
        <v>9</v>
      </c>
      <c r="C10" s="3" t="s">
        <v>26</v>
      </c>
      <c r="D10" s="3" t="s">
        <v>15</v>
      </c>
      <c r="E10" s="3">
        <v>160.0</v>
      </c>
      <c r="F10" s="4">
        <v>45.0</v>
      </c>
      <c r="G10" s="3">
        <v>0.0</v>
      </c>
      <c r="H10" s="4">
        <v>0.0</v>
      </c>
      <c r="I10" s="4">
        <f t="shared" si="1"/>
        <v>7200</v>
      </c>
    </row>
    <row r="11">
      <c r="A11" s="3">
        <v>2.0</v>
      </c>
      <c r="B11" s="3" t="s">
        <v>9</v>
      </c>
      <c r="C11" s="3" t="s">
        <v>27</v>
      </c>
      <c r="D11" s="3" t="s">
        <v>28</v>
      </c>
      <c r="E11" s="3">
        <v>96.0</v>
      </c>
      <c r="F11" s="4">
        <v>40.0</v>
      </c>
      <c r="G11" s="3">
        <v>0.0</v>
      </c>
      <c r="H11" s="4">
        <v>0.0</v>
      </c>
      <c r="I11" s="4">
        <f t="shared" si="1"/>
        <v>3840</v>
      </c>
    </row>
    <row r="12">
      <c r="A12" s="3">
        <v>2.0</v>
      </c>
      <c r="B12" s="3" t="s">
        <v>9</v>
      </c>
      <c r="C12" s="3" t="s">
        <v>29</v>
      </c>
      <c r="D12" s="3" t="s">
        <v>17</v>
      </c>
      <c r="E12" s="3">
        <v>64.0</v>
      </c>
      <c r="F12" s="4">
        <v>55.0</v>
      </c>
      <c r="G12" s="3">
        <v>0.0</v>
      </c>
      <c r="H12" s="4">
        <v>0.0</v>
      </c>
      <c r="I12" s="4">
        <f t="shared" si="1"/>
        <v>3520</v>
      </c>
    </row>
    <row r="13">
      <c r="A13" s="3">
        <v>2.0</v>
      </c>
      <c r="B13" s="3" t="s">
        <v>9</v>
      </c>
      <c r="C13" s="3" t="s">
        <v>30</v>
      </c>
      <c r="D13" s="3" t="s">
        <v>19</v>
      </c>
      <c r="E13" s="3">
        <v>40.0</v>
      </c>
      <c r="F13" s="4">
        <v>50.0</v>
      </c>
      <c r="G13" s="3">
        <v>0.0</v>
      </c>
      <c r="H13" s="4">
        <v>0.0</v>
      </c>
      <c r="I13" s="4">
        <f t="shared" si="1"/>
        <v>2000</v>
      </c>
    </row>
    <row r="14">
      <c r="A14" s="3">
        <v>2.0</v>
      </c>
      <c r="B14" s="3" t="s">
        <v>9</v>
      </c>
      <c r="C14" s="3" t="s">
        <v>31</v>
      </c>
      <c r="D14" s="3" t="s">
        <v>32</v>
      </c>
      <c r="E14" s="3">
        <v>24.0</v>
      </c>
      <c r="F14" s="4">
        <v>30.0</v>
      </c>
      <c r="G14" s="3">
        <v>0.0</v>
      </c>
      <c r="H14" s="4">
        <v>0.0</v>
      </c>
      <c r="I14" s="4">
        <f t="shared" si="1"/>
        <v>720</v>
      </c>
    </row>
    <row r="15">
      <c r="A15" s="3">
        <v>2.0</v>
      </c>
      <c r="B15" s="3" t="s">
        <v>20</v>
      </c>
      <c r="C15" s="3" t="s">
        <v>33</v>
      </c>
      <c r="D15" s="3" t="s">
        <v>22</v>
      </c>
      <c r="E15" s="3">
        <v>60.0</v>
      </c>
      <c r="F15" s="4">
        <v>50.0</v>
      </c>
      <c r="G15" s="3">
        <v>0.0</v>
      </c>
      <c r="H15" s="4">
        <v>0.0</v>
      </c>
      <c r="I15" s="4">
        <f t="shared" si="1"/>
        <v>3000</v>
      </c>
    </row>
    <row r="16">
      <c r="A16" s="3">
        <v>3.0</v>
      </c>
      <c r="B16" s="3" t="s">
        <v>9</v>
      </c>
      <c r="C16" s="3" t="s">
        <v>34</v>
      </c>
      <c r="D16" s="3" t="s">
        <v>19</v>
      </c>
      <c r="E16" s="3">
        <v>24.0</v>
      </c>
      <c r="F16" s="4">
        <v>50.0</v>
      </c>
      <c r="G16" s="3">
        <v>0.0</v>
      </c>
      <c r="H16" s="4">
        <v>0.0</v>
      </c>
      <c r="I16" s="4">
        <f t="shared" si="1"/>
        <v>1200</v>
      </c>
    </row>
    <row r="17">
      <c r="A17" s="3">
        <v>3.0</v>
      </c>
      <c r="B17" s="3" t="s">
        <v>9</v>
      </c>
      <c r="C17" s="3" t="s">
        <v>35</v>
      </c>
      <c r="D17" s="3" t="s">
        <v>15</v>
      </c>
      <c r="E17" s="3">
        <v>16.0</v>
      </c>
      <c r="F17" s="4">
        <v>45.0</v>
      </c>
      <c r="G17" s="3">
        <v>0.0</v>
      </c>
      <c r="H17" s="4">
        <v>0.0</v>
      </c>
      <c r="I17" s="4">
        <f t="shared" si="1"/>
        <v>720</v>
      </c>
    </row>
    <row r="18">
      <c r="A18" s="3">
        <v>3.0</v>
      </c>
      <c r="B18" s="3" t="s">
        <v>9</v>
      </c>
      <c r="C18" s="3" t="s">
        <v>36</v>
      </c>
      <c r="D18" s="3" t="s">
        <v>28</v>
      </c>
      <c r="E18" s="3">
        <v>8.0</v>
      </c>
      <c r="F18" s="4">
        <v>40.0</v>
      </c>
      <c r="G18" s="3">
        <v>0.0</v>
      </c>
      <c r="H18" s="4">
        <v>0.0</v>
      </c>
      <c r="I18" s="4">
        <f t="shared" si="1"/>
        <v>320</v>
      </c>
    </row>
    <row r="19">
      <c r="A19" s="3">
        <v>3.0</v>
      </c>
      <c r="B19" s="3" t="s">
        <v>9</v>
      </c>
      <c r="C19" s="3" t="s">
        <v>37</v>
      </c>
      <c r="D19" s="3" t="s">
        <v>32</v>
      </c>
      <c r="E19" s="3">
        <v>24.0</v>
      </c>
      <c r="F19" s="4">
        <v>30.0</v>
      </c>
      <c r="G19" s="3">
        <v>0.0</v>
      </c>
      <c r="H19" s="4">
        <v>0.0</v>
      </c>
      <c r="I19" s="4">
        <f t="shared" si="1"/>
        <v>720</v>
      </c>
    </row>
    <row r="20">
      <c r="A20" s="3">
        <v>3.0</v>
      </c>
      <c r="B20" s="3" t="s">
        <v>9</v>
      </c>
      <c r="C20" s="3" t="s">
        <v>38</v>
      </c>
      <c r="D20" s="3" t="s">
        <v>11</v>
      </c>
      <c r="E20" s="3">
        <v>8.0</v>
      </c>
      <c r="F20" s="4">
        <v>40.0</v>
      </c>
      <c r="G20" s="3">
        <v>0.0</v>
      </c>
      <c r="H20" s="4">
        <v>0.0</v>
      </c>
      <c r="I20" s="4">
        <f t="shared" si="1"/>
        <v>320</v>
      </c>
    </row>
    <row r="21" ht="15.75" customHeight="1">
      <c r="A21" s="3">
        <v>3.0</v>
      </c>
      <c r="B21" s="3" t="s">
        <v>20</v>
      </c>
      <c r="C21" s="3" t="s">
        <v>39</v>
      </c>
      <c r="D21" s="3" t="s">
        <v>22</v>
      </c>
      <c r="E21" s="3">
        <v>24.0</v>
      </c>
      <c r="F21" s="4">
        <v>50.0</v>
      </c>
      <c r="G21" s="3">
        <v>0.0</v>
      </c>
      <c r="H21" s="4">
        <v>0.0</v>
      </c>
      <c r="I21" s="4">
        <f t="shared" si="1"/>
        <v>1200</v>
      </c>
    </row>
    <row r="22" ht="15.75" customHeight="1">
      <c r="A22" s="3">
        <v>3.0</v>
      </c>
      <c r="B22" s="3" t="s">
        <v>20</v>
      </c>
      <c r="C22" s="3" t="s">
        <v>40</v>
      </c>
      <c r="D22" s="3" t="s">
        <v>25</v>
      </c>
      <c r="E22" s="3">
        <v>8.0</v>
      </c>
      <c r="F22" s="4">
        <v>60.0</v>
      </c>
      <c r="G22" s="3">
        <v>0.0</v>
      </c>
      <c r="H22" s="4">
        <v>0.0</v>
      </c>
      <c r="I22" s="4">
        <f t="shared" si="1"/>
        <v>480</v>
      </c>
    </row>
    <row r="23" ht="15.75" customHeight="1">
      <c r="A23" s="3" t="s">
        <v>41</v>
      </c>
      <c r="B23" s="3" t="s">
        <v>41</v>
      </c>
      <c r="C23" s="3" t="s">
        <v>42</v>
      </c>
      <c r="D23" s="5" t="s">
        <v>43</v>
      </c>
      <c r="E23" s="3">
        <v>0.0</v>
      </c>
      <c r="F23" s="4">
        <v>0.0</v>
      </c>
      <c r="G23" s="3">
        <v>4.0</v>
      </c>
      <c r="H23" s="4">
        <v>1200.0</v>
      </c>
      <c r="I23" s="4">
        <f t="shared" si="1"/>
        <v>4800</v>
      </c>
    </row>
    <row r="24" ht="15.75" customHeight="1">
      <c r="A24" s="3" t="s">
        <v>41</v>
      </c>
      <c r="B24" s="3" t="s">
        <v>41</v>
      </c>
      <c r="C24" s="3" t="s">
        <v>44</v>
      </c>
      <c r="D24" s="5" t="s">
        <v>43</v>
      </c>
      <c r="E24" s="3">
        <v>0.0</v>
      </c>
      <c r="F24" s="4">
        <v>0.0</v>
      </c>
      <c r="G24" s="3">
        <v>4.0</v>
      </c>
      <c r="H24" s="4">
        <v>200.0</v>
      </c>
      <c r="I24" s="4">
        <f t="shared" si="1"/>
        <v>800</v>
      </c>
    </row>
    <row r="25" ht="15.75" customHeight="1">
      <c r="I25" s="4">
        <f>SUM(I2:I24)</f>
        <v>37160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14"/>
    <col customWidth="1" min="3" max="3" width="13.14"/>
    <col customWidth="1" min="4" max="26" width="8.71"/>
  </cols>
  <sheetData>
    <row r="1">
      <c r="A1" s="1" t="s">
        <v>0</v>
      </c>
      <c r="B1" s="1" t="s">
        <v>1</v>
      </c>
      <c r="C1" s="1" t="s">
        <v>45</v>
      </c>
    </row>
    <row r="2">
      <c r="A2" s="3">
        <v>1.0</v>
      </c>
      <c r="B2" s="3" t="s">
        <v>20</v>
      </c>
      <c r="C2" s="4">
        <v>2480.0</v>
      </c>
    </row>
    <row r="3">
      <c r="A3" s="3">
        <v>1.0</v>
      </c>
      <c r="B3" s="3" t="s">
        <v>9</v>
      </c>
      <c r="C3" s="4">
        <v>3840.0</v>
      </c>
    </row>
    <row r="4">
      <c r="A4" s="3">
        <v>2.0</v>
      </c>
      <c r="B4" s="3" t="s">
        <v>20</v>
      </c>
      <c r="C4" s="4">
        <v>3000.0</v>
      </c>
    </row>
    <row r="5">
      <c r="A5" s="3">
        <v>2.0</v>
      </c>
      <c r="B5" s="3" t="s">
        <v>9</v>
      </c>
      <c r="C5" s="4">
        <v>17280.0</v>
      </c>
    </row>
    <row r="6">
      <c r="A6" s="3">
        <v>3.0</v>
      </c>
      <c r="B6" s="3" t="s">
        <v>20</v>
      </c>
      <c r="C6" s="4">
        <v>1680.0</v>
      </c>
    </row>
    <row r="7">
      <c r="A7" s="3">
        <v>3.0</v>
      </c>
      <c r="B7" s="3" t="s">
        <v>9</v>
      </c>
      <c r="C7" s="4">
        <v>3280.0</v>
      </c>
    </row>
    <row r="8">
      <c r="A8" s="3" t="s">
        <v>41</v>
      </c>
      <c r="B8" s="3" t="s">
        <v>41</v>
      </c>
      <c r="C8" s="4">
        <v>5600.0</v>
      </c>
    </row>
    <row r="9">
      <c r="C9" s="4">
        <f>SUM(C2:C8)</f>
        <v>37160</v>
      </c>
    </row>
    <row r="11">
      <c r="B11" s="1" t="s">
        <v>46</v>
      </c>
      <c r="C11" s="1" t="s">
        <v>45</v>
      </c>
    </row>
    <row r="12">
      <c r="B12" s="3" t="s">
        <v>11</v>
      </c>
      <c r="C12" s="4">
        <f>SUMIF(CAPEX_detalle!$D$2:$D$24,B12,CAPEX_detalle!$I$2:$I$24)</f>
        <v>1280</v>
      </c>
    </row>
    <row r="13">
      <c r="B13" s="3" t="s">
        <v>13</v>
      </c>
      <c r="C13" s="4">
        <f>SUMIF(CAPEX_detalle!$D$2:$D$23,B13,CAPEX_detalle!$I$2:$I$24)</f>
        <v>1320</v>
      </c>
    </row>
    <row r="14">
      <c r="B14" s="3" t="s">
        <v>15</v>
      </c>
      <c r="C14" s="4">
        <f>SUMIF(CAPEX_detalle!$D$2:$D$23,B14,CAPEX_detalle!$I$2:$I$24)</f>
        <v>8640</v>
      </c>
    </row>
    <row r="15">
      <c r="B15" s="3" t="s">
        <v>17</v>
      </c>
      <c r="C15" s="4">
        <f>SUMIF(CAPEX_detalle!$D$2:$D$23,B15,CAPEX_detalle!$I$2:$I$24)</f>
        <v>3960</v>
      </c>
    </row>
    <row r="16">
      <c r="B16" s="3" t="s">
        <v>19</v>
      </c>
      <c r="C16" s="4">
        <f>SUMIF(CAPEX_detalle!$D$2:$D$23,B16,CAPEX_detalle!$I$2:$I$24)</f>
        <v>3600</v>
      </c>
    </row>
    <row r="17">
      <c r="B17" s="3" t="s">
        <v>22</v>
      </c>
      <c r="C17" s="4">
        <f>SUMIF(CAPEX_detalle!$D$2:$D$23,B17,CAPEX_detalle!$I$2:$I$24)</f>
        <v>6200</v>
      </c>
    </row>
    <row r="18">
      <c r="B18" s="3" t="s">
        <v>25</v>
      </c>
      <c r="C18" s="4">
        <f>SUMIF(CAPEX_detalle!$D$2:$D$23,B18,CAPEX_detalle!$I$2:$I$24)</f>
        <v>960</v>
      </c>
    </row>
    <row r="19">
      <c r="B19" s="3" t="s">
        <v>28</v>
      </c>
      <c r="C19" s="4">
        <f>SUMIF(CAPEX_detalle!$D$2:$D$23,B19,CAPEX_detalle!$I$2:$I$24)</f>
        <v>4160</v>
      </c>
    </row>
    <row r="20">
      <c r="B20" s="3" t="s">
        <v>17</v>
      </c>
      <c r="C20" s="4">
        <f>SUMIF(CAPEX_detalle!$D$2:$D$23,B20,CAPEX_detalle!$I$2:$I$24)</f>
        <v>3960</v>
      </c>
    </row>
    <row r="21" ht="15.75" customHeight="1">
      <c r="B21" s="3" t="s">
        <v>32</v>
      </c>
      <c r="C21" s="4">
        <f>SUMIF(CAPEX_detalle!$D$2:$D$23,B21,CAPEX_detalle!$I$2:$I$24)</f>
        <v>1440</v>
      </c>
    </row>
    <row r="22" ht="15.75" customHeight="1">
      <c r="B22" s="5" t="s">
        <v>43</v>
      </c>
      <c r="C22" s="4">
        <f>SUMIF(CAPEX_detalle!$D$2:$D$24,B22,CAPEX_detalle!$I$2:$I$24)</f>
        <v>5600</v>
      </c>
    </row>
    <row r="23" ht="15.75" customHeight="1">
      <c r="C23" s="4">
        <f>SUM(C12:C21)</f>
        <v>35520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10.71"/>
    <col customWidth="1" min="3" max="26" width="8.71"/>
  </cols>
  <sheetData>
    <row r="1">
      <c r="A1" s="2" t="s">
        <v>47</v>
      </c>
      <c r="B1" s="2" t="s">
        <v>48</v>
      </c>
    </row>
    <row r="2">
      <c r="A2" s="3" t="s">
        <v>49</v>
      </c>
      <c r="B2" s="4">
        <v>37160.0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