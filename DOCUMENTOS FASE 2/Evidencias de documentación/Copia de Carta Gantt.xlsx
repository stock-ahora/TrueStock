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<sst xmlns="http://schemas.openxmlformats.org/spreadsheetml/2006/main" count="365" uniqueCount="94">
  <si>
    <t>Proyecto: TrueStock</t>
  </si>
  <si>
    <t>Período: 18 de Agosto - 22 de Noviembre</t>
  </si>
  <si>
    <t>ID</t>
  </si>
  <si>
    <t>Actividad</t>
  </si>
  <si>
    <t>Responsable</t>
  </si>
  <si>
    <t>Agosto</t>
  </si>
  <si>
    <t>Septiembre</t>
  </si>
  <si>
    <t>Octubre</t>
  </si>
  <si>
    <t>Noviembre</t>
  </si>
  <si>
    <t>S1</t>
  </si>
  <si>
    <t>S2</t>
  </si>
  <si>
    <t>S3</t>
  </si>
  <si>
    <t>S4</t>
  </si>
  <si>
    <t>L</t>
  </si>
  <si>
    <t>M</t>
  </si>
  <si>
    <t>J</t>
  </si>
  <si>
    <t>V</t>
  </si>
  <si>
    <t>1.0</t>
  </si>
  <si>
    <t>FASE 1: Kick-off y Diseño</t>
  </si>
  <si>
    <t>Definición de Requerimientos</t>
  </si>
  <si>
    <t>Todos</t>
  </si>
  <si>
    <t>X</t>
  </si>
  <si>
    <t>Diseño de Arquitectura AWS</t>
  </si>
  <si>
    <t>W, A</t>
  </si>
  <si>
    <t>Diseño BD y API</t>
  </si>
  <si>
    <t>A, W</t>
  </si>
  <si>
    <t>Diseño UI/UX (Móvil y Web)</t>
  </si>
  <si>
    <t>D, S</t>
  </si>
  <si>
    <t>2.0</t>
  </si>
  <si>
    <t>FASE 2: Desarrollo Core (MVP)</t>
  </si>
  <si>
    <t>Infraestructura como Código (IaC)</t>
  </si>
  <si>
    <t>Augusto</t>
  </si>
  <si>
    <t>Desarrollo Microservicios Backend</t>
  </si>
  <si>
    <t>Desarrollo Aplicación Móvil</t>
  </si>
  <si>
    <t>Desarrollo Aplicación Web</t>
  </si>
  <si>
    <t>D, S, W</t>
  </si>
  <si>
    <t>Integración Servicios de IA</t>
  </si>
  <si>
    <t>Configuración Pipelines CI/CD</t>
  </si>
  <si>
    <t>3.0</t>
  </si>
  <si>
    <t>FASE 4: Pruebas, Cierre y Documentación</t>
  </si>
  <si>
    <t>Pruebas de Sistema (End-to-End)</t>
  </si>
  <si>
    <t>Despliegue Final y Monitoreo</t>
  </si>
  <si>
    <t>Elaboración Documentación Final</t>
  </si>
  <si>
    <t>HITO: Entrega Final</t>
  </si>
  <si>
    <t>Leyenda:</t>
  </si>
  <si>
    <t>W: Willians, A: Augusto, D: Daniel, S: Sergio.</t>
  </si>
  <si>
    <t>Cada semana representa 5 días. El proyecto abarca desde la última semana de agosto hasta la tercera semana de noviembre.</t>
  </si>
  <si>
    <t>Fase inicial</t>
  </si>
  <si>
    <t>Fase de desarrollo</t>
  </si>
  <si>
    <t>Fase de cierre y certificacion</t>
  </si>
  <si>
    <t>Duración (días)</t>
  </si>
  <si>
    <t>Actividad Perteneciente (Dependencia)</t>
  </si>
  <si>
    <t>A1. Análisis de requerimientos</t>
  </si>
  <si>
    <t>—</t>
  </si>
  <si>
    <t>A2. Diseño de arquitectura AWS</t>
  </si>
  <si>
    <t>A1</t>
  </si>
  <si>
    <t>A3. Diseño de base de datos transaccional</t>
  </si>
  <si>
    <t>A4. Diseño del modelo estrella (DW)</t>
  </si>
  <si>
    <t>A5. Diseño UX/UI responsive</t>
  </si>
  <si>
    <t>A6. Implementación de API REST</t>
  </si>
  <si>
    <t>A2</t>
  </si>
  <si>
    <t>A7. CRUD de productos y usuarios</t>
  </si>
  <si>
    <t>A6</t>
  </si>
  <si>
    <t>A8. Registro manual de movimientos</t>
  </si>
  <si>
    <t>A9. Actualización tiempo real del inventario</t>
  </si>
  <si>
    <t>A10. Logs y auditoría</t>
  </si>
  <si>
    <t>A11. Seguridad y protección de datos</t>
  </si>
  <si>
    <t>A12. Respaldo y restauración BD</t>
  </si>
  <si>
    <t>A3</t>
  </si>
  <si>
    <t>A13. Módulo OCR de facturas</t>
  </si>
  <si>
    <t>A14. Chatbot Bedrock</t>
  </si>
  <si>
    <t>A15. Modelo predictivo de demanda</t>
  </si>
  <si>
    <t>A4</t>
  </si>
  <si>
    <t>A16. Centro de notificaciones</t>
  </si>
  <si>
    <t>A17. Alertas de quiebre de stock</t>
  </si>
  <si>
    <t>A16</t>
  </si>
  <si>
    <t>A18. Calendario de tareas</t>
  </si>
  <si>
    <t>A19. Dashboard de trazabilidad</t>
  </si>
  <si>
    <t>A20. Reportes básicos</t>
  </si>
  <si>
    <t>A19</t>
  </si>
  <si>
    <t>A21. Filtrado de datos</t>
  </si>
  <si>
    <t>A22. CI/CD en GitHub Actions</t>
  </si>
  <si>
    <t>A23. Despliegue en AWS</t>
  </si>
  <si>
    <t>A22</t>
  </si>
  <si>
    <t>A24. Pruebas de escalabilidad</t>
  </si>
  <si>
    <t>A23</t>
  </si>
  <si>
    <t>A25. Integración completa del sistema</t>
  </si>
  <si>
    <t>A7, A8, A9, A13, A14, A15, A16, A19</t>
  </si>
  <si>
    <t>A26. Pruebas funcionales y no funcionales</t>
  </si>
  <si>
    <t>A25</t>
  </si>
  <si>
    <t>A27. Documentación técnica y usuario</t>
  </si>
  <si>
    <t>A26</t>
  </si>
  <si>
    <t>A28. Presentación final del proyecto</t>
  </si>
  <si>
    <t>A27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</si>
</sst>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theme="1"/>
      <name val="Liberation Serif"/>
    </font>
    <font>
      <b/>
      <color theme="1"/>
      <name val="Liberation Serif"/>
    </font>
    <font/>
    <font>
      <color theme="1"/>
      <name val="Arial"/>
      <scheme val="minor"/>
    </font>
    <font>
      <color theme="1"/>
      <name val="Liberation Serif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F00"/>
        <bgColor rgb="FFFFFF00"/>
      </patternFill>
    </fill>
    <fill>
      <patternFill patternType="solid">
        <fgColor rgb="FF729FCF"/>
        <bgColor rgb="FF729FCF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3" numFmtId="0" xfId="0" applyAlignment="1" applyBorder="1" applyFill="1" applyFont="1">
      <alignment horizontal="center" readingOrder="0"/>
    </xf>
    <xf borderId="7" fillId="4" fontId="3" numFmtId="0" xfId="0" applyAlignment="1" applyBorder="1" applyFill="1" applyFont="1">
      <alignment horizontal="center" readingOrder="0"/>
    </xf>
    <xf borderId="2" fillId="4" fontId="3" numFmtId="0" xfId="0" applyAlignment="1" applyBorder="1" applyFont="1">
      <alignment horizontal="center" readingOrder="0"/>
    </xf>
    <xf borderId="7" fillId="4" fontId="5" numFmtId="0" xfId="0" applyAlignment="1" applyBorder="1" applyFont="1">
      <alignment horizontal="left"/>
    </xf>
    <xf borderId="7" fillId="0" fontId="6" numFmtId="164" xfId="0" applyAlignment="1" applyBorder="1" applyFont="1" applyNumberFormat="1">
      <alignment horizontal="center" readingOrder="0"/>
    </xf>
    <xf borderId="7" fillId="0" fontId="6" numFmtId="0" xfId="0" applyAlignment="1" applyBorder="1" applyFont="1">
      <alignment horizontal="left" readingOrder="0"/>
    </xf>
    <xf borderId="7" fillId="0" fontId="6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/>
    </xf>
    <xf borderId="7" fillId="5" fontId="6" numFmtId="0" xfId="0" applyAlignment="1" applyBorder="1" applyFill="1" applyFont="1">
      <alignment horizontal="center" readingOrder="0"/>
    </xf>
    <xf borderId="7" fillId="4" fontId="5" numFmtId="0" xfId="0" applyAlignment="1" applyBorder="1" applyFont="1">
      <alignment horizontal="center"/>
    </xf>
    <xf borderId="7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7" fillId="0" fontId="3" numFmtId="0" xfId="0" applyAlignment="1" applyBorder="1" applyFont="1">
      <alignment horizontal="left" readingOrder="0"/>
    </xf>
    <xf borderId="7" fillId="0" fontId="5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5" numFmtId="0" xfId="0" applyAlignment="1" applyFont="1">
      <alignment readingOrder="0"/>
    </xf>
    <xf borderId="7" fillId="6" fontId="7" numFmtId="0" xfId="0" applyAlignment="1" applyBorder="1" applyFill="1" applyFont="1">
      <alignment horizontal="center" readingOrder="0"/>
    </xf>
    <xf borderId="7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7.0"/>
    <col customWidth="1" min="3" max="3" width="11.13"/>
    <col customWidth="1" min="4" max="83" width="3.0"/>
  </cols>
  <sheetData>
    <row r="1">
      <c r="A1" s="1" t="s">
        <v>0</v>
      </c>
      <c r="D1" s="2" t="s">
        <v>1</v>
      </c>
    </row>
    <row r="2">
      <c r="A2" s="3" t="s">
        <v>2</v>
      </c>
      <c r="B2" s="3" t="s">
        <v>3</v>
      </c>
      <c r="C2" s="3" t="s">
        <v>4</v>
      </c>
      <c r="D2" s="4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4" t="s">
        <v>6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6"/>
      <c r="AR2" s="4" t="s">
        <v>7</v>
      </c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6"/>
      <c r="BL2" s="4" t="s">
        <v>8</v>
      </c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6"/>
    </row>
    <row r="3">
      <c r="A3" s="7"/>
      <c r="B3" s="7"/>
      <c r="C3" s="7"/>
      <c r="D3" s="4" t="s">
        <v>9</v>
      </c>
      <c r="E3" s="5"/>
      <c r="F3" s="5"/>
      <c r="G3" s="5"/>
      <c r="H3" s="6"/>
      <c r="I3" s="4" t="s">
        <v>10</v>
      </c>
      <c r="J3" s="5"/>
      <c r="K3" s="5"/>
      <c r="L3" s="5"/>
      <c r="M3" s="6"/>
      <c r="N3" s="4" t="s">
        <v>11</v>
      </c>
      <c r="O3" s="5"/>
      <c r="P3" s="5"/>
      <c r="Q3" s="5"/>
      <c r="R3" s="6"/>
      <c r="S3" s="4" t="s">
        <v>12</v>
      </c>
      <c r="T3" s="5"/>
      <c r="U3" s="5"/>
      <c r="V3" s="5"/>
      <c r="W3" s="6"/>
      <c r="X3" s="4" t="s">
        <v>9</v>
      </c>
      <c r="Y3" s="5"/>
      <c r="Z3" s="5"/>
      <c r="AA3" s="5"/>
      <c r="AB3" s="6"/>
      <c r="AC3" s="4" t="s">
        <v>10</v>
      </c>
      <c r="AD3" s="5"/>
      <c r="AE3" s="5"/>
      <c r="AF3" s="5"/>
      <c r="AG3" s="6"/>
      <c r="AH3" s="4" t="s">
        <v>11</v>
      </c>
      <c r="AI3" s="5"/>
      <c r="AJ3" s="5"/>
      <c r="AK3" s="5"/>
      <c r="AL3" s="6"/>
      <c r="AM3" s="4" t="s">
        <v>12</v>
      </c>
      <c r="AN3" s="5"/>
      <c r="AO3" s="5"/>
      <c r="AP3" s="5"/>
      <c r="AQ3" s="6"/>
      <c r="AR3" s="4" t="s">
        <v>9</v>
      </c>
      <c r="AS3" s="5"/>
      <c r="AT3" s="5"/>
      <c r="AU3" s="5"/>
      <c r="AV3" s="6"/>
      <c r="AW3" s="4" t="s">
        <v>10</v>
      </c>
      <c r="AX3" s="5"/>
      <c r="AY3" s="5"/>
      <c r="AZ3" s="5"/>
      <c r="BA3" s="6"/>
      <c r="BB3" s="4" t="s">
        <v>11</v>
      </c>
      <c r="BC3" s="5"/>
      <c r="BD3" s="5"/>
      <c r="BE3" s="5"/>
      <c r="BF3" s="6"/>
      <c r="BG3" s="4" t="s">
        <v>12</v>
      </c>
      <c r="BH3" s="5"/>
      <c r="BI3" s="5"/>
      <c r="BJ3" s="5"/>
      <c r="BK3" s="6"/>
      <c r="BL3" s="4" t="s">
        <v>9</v>
      </c>
      <c r="BM3" s="5"/>
      <c r="BN3" s="5"/>
      <c r="BO3" s="5"/>
      <c r="BP3" s="6"/>
      <c r="BQ3" s="4" t="s">
        <v>10</v>
      </c>
      <c r="BR3" s="5"/>
      <c r="BS3" s="5"/>
      <c r="BT3" s="5"/>
      <c r="BU3" s="6"/>
      <c r="BV3" s="4" t="s">
        <v>11</v>
      </c>
      <c r="BW3" s="5"/>
      <c r="BX3" s="5"/>
      <c r="BY3" s="5"/>
      <c r="BZ3" s="6"/>
      <c r="CA3" s="4" t="s">
        <v>12</v>
      </c>
      <c r="CB3" s="5"/>
      <c r="CC3" s="5"/>
      <c r="CD3" s="5"/>
      <c r="CE3" s="6"/>
    </row>
    <row r="4">
      <c r="A4" s="8"/>
      <c r="B4" s="8"/>
      <c r="C4" s="8"/>
      <c r="D4" s="9" t="s">
        <v>13</v>
      </c>
      <c r="E4" s="9" t="s">
        <v>14</v>
      </c>
      <c r="F4" s="9" t="s">
        <v>14</v>
      </c>
      <c r="G4" s="9" t="s">
        <v>15</v>
      </c>
      <c r="H4" s="9" t="s">
        <v>16</v>
      </c>
      <c r="I4" s="9" t="s">
        <v>13</v>
      </c>
      <c r="J4" s="9" t="s">
        <v>14</v>
      </c>
      <c r="K4" s="9" t="s">
        <v>14</v>
      </c>
      <c r="L4" s="9" t="s">
        <v>15</v>
      </c>
      <c r="M4" s="9" t="s">
        <v>16</v>
      </c>
      <c r="N4" s="9" t="s">
        <v>13</v>
      </c>
      <c r="O4" s="9" t="s">
        <v>14</v>
      </c>
      <c r="P4" s="9" t="s">
        <v>14</v>
      </c>
      <c r="Q4" s="9" t="s">
        <v>15</v>
      </c>
      <c r="R4" s="9" t="s">
        <v>16</v>
      </c>
      <c r="S4" s="9" t="s">
        <v>13</v>
      </c>
      <c r="T4" s="9" t="s">
        <v>14</v>
      </c>
      <c r="U4" s="9" t="s">
        <v>14</v>
      </c>
      <c r="V4" s="9" t="s">
        <v>15</v>
      </c>
      <c r="W4" s="9" t="s">
        <v>16</v>
      </c>
      <c r="X4" s="9" t="s">
        <v>13</v>
      </c>
      <c r="Y4" s="9" t="s">
        <v>14</v>
      </c>
      <c r="Z4" s="9" t="s">
        <v>14</v>
      </c>
      <c r="AA4" s="9" t="s">
        <v>15</v>
      </c>
      <c r="AB4" s="9" t="s">
        <v>16</v>
      </c>
      <c r="AC4" s="9" t="s">
        <v>13</v>
      </c>
      <c r="AD4" s="9" t="s">
        <v>14</v>
      </c>
      <c r="AE4" s="9" t="s">
        <v>14</v>
      </c>
      <c r="AF4" s="9" t="s">
        <v>15</v>
      </c>
      <c r="AG4" s="9" t="s">
        <v>16</v>
      </c>
      <c r="AH4" s="9" t="s">
        <v>13</v>
      </c>
      <c r="AI4" s="9" t="s">
        <v>14</v>
      </c>
      <c r="AJ4" s="9" t="s">
        <v>14</v>
      </c>
      <c r="AK4" s="9" t="s">
        <v>15</v>
      </c>
      <c r="AL4" s="9" t="s">
        <v>16</v>
      </c>
      <c r="AM4" s="9" t="s">
        <v>13</v>
      </c>
      <c r="AN4" s="9" t="s">
        <v>14</v>
      </c>
      <c r="AO4" s="9" t="s">
        <v>14</v>
      </c>
      <c r="AP4" s="9" t="s">
        <v>15</v>
      </c>
      <c r="AQ4" s="9" t="s">
        <v>16</v>
      </c>
      <c r="AR4" s="9" t="s">
        <v>13</v>
      </c>
      <c r="AS4" s="9" t="s">
        <v>14</v>
      </c>
      <c r="AT4" s="9" t="s">
        <v>14</v>
      </c>
      <c r="AU4" s="9" t="s">
        <v>15</v>
      </c>
      <c r="AV4" s="9" t="s">
        <v>16</v>
      </c>
      <c r="AW4" s="9" t="s">
        <v>13</v>
      </c>
      <c r="AX4" s="9" t="s">
        <v>14</v>
      </c>
      <c r="AY4" s="9" t="s">
        <v>14</v>
      </c>
      <c r="AZ4" s="9" t="s">
        <v>15</v>
      </c>
      <c r="BA4" s="9" t="s">
        <v>16</v>
      </c>
      <c r="BB4" s="9" t="s">
        <v>13</v>
      </c>
      <c r="BC4" s="9" t="s">
        <v>14</v>
      </c>
      <c r="BD4" s="9" t="s">
        <v>14</v>
      </c>
      <c r="BE4" s="9" t="s">
        <v>15</v>
      </c>
      <c r="BF4" s="9" t="s">
        <v>16</v>
      </c>
      <c r="BG4" s="9" t="s">
        <v>13</v>
      </c>
      <c r="BH4" s="9" t="s">
        <v>14</v>
      </c>
      <c r="BI4" s="9" t="s">
        <v>14</v>
      </c>
      <c r="BJ4" s="9" t="s">
        <v>15</v>
      </c>
      <c r="BK4" s="9" t="s">
        <v>16</v>
      </c>
      <c r="BL4" s="9" t="s">
        <v>13</v>
      </c>
      <c r="BM4" s="9" t="s">
        <v>14</v>
      </c>
      <c r="BN4" s="9" t="s">
        <v>14</v>
      </c>
      <c r="BO4" s="9" t="s">
        <v>15</v>
      </c>
      <c r="BP4" s="9" t="s">
        <v>16</v>
      </c>
      <c r="BQ4" s="9" t="s">
        <v>13</v>
      </c>
      <c r="BR4" s="9" t="s">
        <v>14</v>
      </c>
      <c r="BS4" s="9" t="s">
        <v>14</v>
      </c>
      <c r="BT4" s="9" t="s">
        <v>15</v>
      </c>
      <c r="BU4" s="9" t="s">
        <v>16</v>
      </c>
      <c r="BV4" s="9" t="s">
        <v>13</v>
      </c>
      <c r="BW4" s="9" t="s">
        <v>14</v>
      </c>
      <c r="BX4" s="9" t="s">
        <v>14</v>
      </c>
      <c r="BY4" s="9" t="s">
        <v>15</v>
      </c>
      <c r="BZ4" s="9" t="s">
        <v>16</v>
      </c>
      <c r="CA4" s="9" t="s">
        <v>13</v>
      </c>
      <c r="CB4" s="9" t="s">
        <v>14</v>
      </c>
      <c r="CC4" s="9" t="s">
        <v>14</v>
      </c>
      <c r="CD4" s="9" t="s">
        <v>15</v>
      </c>
      <c r="CE4" s="9" t="s">
        <v>16</v>
      </c>
    </row>
    <row r="5">
      <c r="A5" s="10" t="s">
        <v>17</v>
      </c>
      <c r="B5" s="11" t="s">
        <v>18</v>
      </c>
      <c r="C5" s="6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</row>
    <row r="6">
      <c r="A6" s="13">
        <v>45658.0</v>
      </c>
      <c r="B6" s="14" t="s">
        <v>19</v>
      </c>
      <c r="C6" s="14" t="s">
        <v>20</v>
      </c>
      <c r="D6" s="15" t="s">
        <v>21</v>
      </c>
      <c r="E6" s="15" t="s">
        <v>21</v>
      </c>
      <c r="F6" s="15" t="s">
        <v>21</v>
      </c>
      <c r="G6" s="15" t="s">
        <v>21</v>
      </c>
      <c r="H6" s="15" t="s">
        <v>21</v>
      </c>
      <c r="I6" s="15" t="s">
        <v>21</v>
      </c>
      <c r="J6" s="15" t="s">
        <v>21</v>
      </c>
      <c r="K6" s="15" t="s">
        <v>21</v>
      </c>
      <c r="L6" s="15" t="s">
        <v>21</v>
      </c>
      <c r="M6" s="15" t="s">
        <v>21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7"/>
      <c r="AL6" s="17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</row>
    <row r="7">
      <c r="A7" s="13">
        <v>45689.0</v>
      </c>
      <c r="B7" s="14" t="s">
        <v>22</v>
      </c>
      <c r="C7" s="14" t="s">
        <v>23</v>
      </c>
      <c r="D7" s="15" t="s">
        <v>21</v>
      </c>
      <c r="E7" s="15" t="s">
        <v>21</v>
      </c>
      <c r="F7" s="15" t="s">
        <v>21</v>
      </c>
      <c r="G7" s="15" t="s">
        <v>21</v>
      </c>
      <c r="H7" s="15" t="s">
        <v>21</v>
      </c>
      <c r="I7" s="15" t="s">
        <v>21</v>
      </c>
      <c r="J7" s="15" t="s">
        <v>21</v>
      </c>
      <c r="K7" s="15" t="s">
        <v>21</v>
      </c>
      <c r="L7" s="15" t="s">
        <v>21</v>
      </c>
      <c r="M7" s="15" t="s">
        <v>21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AL7" s="17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</row>
    <row r="8">
      <c r="A8" s="13">
        <v>45717.0</v>
      </c>
      <c r="B8" s="14" t="s">
        <v>24</v>
      </c>
      <c r="C8" s="14" t="s">
        <v>25</v>
      </c>
      <c r="D8" s="15" t="s">
        <v>21</v>
      </c>
      <c r="E8" s="15" t="s">
        <v>21</v>
      </c>
      <c r="F8" s="15" t="s">
        <v>21</v>
      </c>
      <c r="G8" s="15" t="s">
        <v>21</v>
      </c>
      <c r="H8" s="15" t="s">
        <v>21</v>
      </c>
      <c r="I8" s="15" t="s">
        <v>21</v>
      </c>
      <c r="J8" s="15" t="s">
        <v>21</v>
      </c>
      <c r="K8" s="15" t="s">
        <v>21</v>
      </c>
      <c r="L8" s="15" t="s">
        <v>21</v>
      </c>
      <c r="M8" s="15" t="s">
        <v>21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7"/>
      <c r="AL8" s="17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</row>
    <row r="9">
      <c r="A9" s="13">
        <v>45748.0</v>
      </c>
      <c r="B9" s="14" t="s">
        <v>26</v>
      </c>
      <c r="C9" s="14" t="s">
        <v>27</v>
      </c>
      <c r="D9" s="15" t="s">
        <v>21</v>
      </c>
      <c r="E9" s="15" t="s">
        <v>21</v>
      </c>
      <c r="F9" s="15" t="s">
        <v>21</v>
      </c>
      <c r="G9" s="15" t="s">
        <v>21</v>
      </c>
      <c r="H9" s="15" t="s">
        <v>21</v>
      </c>
      <c r="I9" s="15" t="s">
        <v>21</v>
      </c>
      <c r="J9" s="15" t="s">
        <v>21</v>
      </c>
      <c r="K9" s="15" t="s">
        <v>21</v>
      </c>
      <c r="L9" s="15" t="s">
        <v>21</v>
      </c>
      <c r="M9" s="15" t="s">
        <v>21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7"/>
      <c r="AL9" s="17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</row>
    <row r="10">
      <c r="A10" s="10" t="s">
        <v>28</v>
      </c>
      <c r="B10" s="11" t="s">
        <v>29</v>
      </c>
      <c r="C10" s="6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</row>
    <row r="11">
      <c r="A11" s="13">
        <v>45659.0</v>
      </c>
      <c r="B11" s="14" t="s">
        <v>30</v>
      </c>
      <c r="C11" s="14" t="s">
        <v>31</v>
      </c>
      <c r="D11" s="16"/>
      <c r="E11" s="16"/>
      <c r="F11" s="16"/>
      <c r="G11" s="16"/>
      <c r="H11" s="16"/>
      <c r="I11" s="15"/>
      <c r="J11" s="15"/>
      <c r="K11" s="15"/>
      <c r="L11" s="15"/>
      <c r="M11" s="15"/>
      <c r="N11" s="15" t="s">
        <v>21</v>
      </c>
      <c r="O11" s="15" t="s">
        <v>21</v>
      </c>
      <c r="P11" s="15" t="s">
        <v>21</v>
      </c>
      <c r="Q11" s="15" t="s">
        <v>21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AL11" s="17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</row>
    <row r="12">
      <c r="A12" s="13">
        <v>45690.0</v>
      </c>
      <c r="B12" s="14" t="s">
        <v>32</v>
      </c>
      <c r="C12" s="14" t="s">
        <v>23</v>
      </c>
      <c r="D12" s="16"/>
      <c r="E12" s="16"/>
      <c r="F12" s="16"/>
      <c r="G12" s="16"/>
      <c r="H12" s="16"/>
      <c r="I12" s="15"/>
      <c r="J12" s="15"/>
      <c r="K12" s="15"/>
      <c r="L12" s="15"/>
      <c r="M12" s="15"/>
      <c r="N12" s="15" t="s">
        <v>21</v>
      </c>
      <c r="O12" s="15" t="s">
        <v>21</v>
      </c>
      <c r="P12" s="15" t="s">
        <v>21</v>
      </c>
      <c r="Q12" s="15" t="s">
        <v>21</v>
      </c>
      <c r="R12" s="15" t="s">
        <v>21</v>
      </c>
      <c r="S12" s="15" t="s">
        <v>21</v>
      </c>
      <c r="T12" s="15" t="s">
        <v>21</v>
      </c>
      <c r="U12" s="15" t="s">
        <v>21</v>
      </c>
      <c r="V12" s="15" t="s">
        <v>21</v>
      </c>
      <c r="W12" s="15" t="s">
        <v>21</v>
      </c>
      <c r="X12" s="15" t="s">
        <v>21</v>
      </c>
      <c r="Y12" s="15" t="s">
        <v>21</v>
      </c>
      <c r="Z12" s="15" t="s">
        <v>21</v>
      </c>
      <c r="AA12" s="15" t="s">
        <v>21</v>
      </c>
      <c r="AB12" s="15" t="s">
        <v>21</v>
      </c>
      <c r="AC12" s="15" t="s">
        <v>21</v>
      </c>
      <c r="AD12" s="15" t="s">
        <v>21</v>
      </c>
      <c r="AE12" s="15" t="s">
        <v>21</v>
      </c>
      <c r="AF12" s="15" t="s">
        <v>21</v>
      </c>
      <c r="AG12" s="15" t="s">
        <v>21</v>
      </c>
      <c r="AH12" s="15" t="s">
        <v>21</v>
      </c>
      <c r="AI12" s="15" t="s">
        <v>21</v>
      </c>
      <c r="AJ12" s="15" t="s">
        <v>21</v>
      </c>
      <c r="AK12" s="17"/>
      <c r="AL12" s="17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</row>
    <row r="13">
      <c r="A13" s="13">
        <v>45718.0</v>
      </c>
      <c r="B13" s="14" t="s">
        <v>33</v>
      </c>
      <c r="C13" s="14" t="s">
        <v>27</v>
      </c>
      <c r="D13" s="16"/>
      <c r="E13" s="16"/>
      <c r="F13" s="16"/>
      <c r="G13" s="16"/>
      <c r="H13" s="16"/>
      <c r="I13" s="15"/>
      <c r="J13" s="15"/>
      <c r="K13" s="15"/>
      <c r="L13" s="15"/>
      <c r="M13" s="15"/>
      <c r="N13" s="15" t="s">
        <v>21</v>
      </c>
      <c r="O13" s="15" t="s">
        <v>21</v>
      </c>
      <c r="P13" s="15" t="s">
        <v>21</v>
      </c>
      <c r="Q13" s="15" t="s">
        <v>21</v>
      </c>
      <c r="R13" s="15" t="s">
        <v>21</v>
      </c>
      <c r="S13" s="15" t="s">
        <v>21</v>
      </c>
      <c r="T13" s="15" t="s">
        <v>21</v>
      </c>
      <c r="U13" s="15" t="s">
        <v>21</v>
      </c>
      <c r="V13" s="15" t="s">
        <v>21</v>
      </c>
      <c r="W13" s="15" t="s">
        <v>21</v>
      </c>
      <c r="X13" s="15" t="s">
        <v>21</v>
      </c>
      <c r="Y13" s="15" t="s">
        <v>21</v>
      </c>
      <c r="Z13" s="15" t="s">
        <v>21</v>
      </c>
      <c r="AA13" s="15" t="s">
        <v>21</v>
      </c>
      <c r="AB13" s="15" t="s">
        <v>21</v>
      </c>
      <c r="AC13" s="15" t="s">
        <v>21</v>
      </c>
      <c r="AD13" s="15" t="s">
        <v>21</v>
      </c>
      <c r="AE13" s="15" t="s">
        <v>21</v>
      </c>
      <c r="AF13" s="15" t="s">
        <v>21</v>
      </c>
      <c r="AG13" s="15" t="s">
        <v>21</v>
      </c>
      <c r="AH13" s="15" t="s">
        <v>21</v>
      </c>
      <c r="AI13" s="15" t="s">
        <v>21</v>
      </c>
      <c r="AJ13" s="15" t="s">
        <v>21</v>
      </c>
      <c r="AK13" s="17"/>
      <c r="AL13" s="17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</row>
    <row r="14">
      <c r="A14" s="13">
        <v>45749.0</v>
      </c>
      <c r="B14" s="14" t="s">
        <v>34</v>
      </c>
      <c r="C14" s="14" t="s">
        <v>35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AL14" s="17"/>
      <c r="AM14" s="15" t="s">
        <v>21</v>
      </c>
      <c r="AN14" s="15" t="s">
        <v>21</v>
      </c>
      <c r="AO14" s="15" t="s">
        <v>21</v>
      </c>
      <c r="AP14" s="15" t="s">
        <v>21</v>
      </c>
      <c r="AQ14" s="15" t="s">
        <v>21</v>
      </c>
      <c r="AR14" s="15" t="s">
        <v>21</v>
      </c>
      <c r="AS14" s="15" t="s">
        <v>21</v>
      </c>
      <c r="AT14" s="15" t="s">
        <v>21</v>
      </c>
      <c r="AU14" s="15" t="s">
        <v>21</v>
      </c>
      <c r="AV14" s="15" t="s">
        <v>21</v>
      </c>
      <c r="AW14" s="15" t="s">
        <v>21</v>
      </c>
      <c r="AX14" s="15" t="s">
        <v>21</v>
      </c>
      <c r="AY14" s="15" t="s">
        <v>21</v>
      </c>
      <c r="AZ14" s="15" t="s">
        <v>21</v>
      </c>
      <c r="BA14" s="15" t="s">
        <v>21</v>
      </c>
      <c r="BB14" s="15" t="s">
        <v>21</v>
      </c>
      <c r="BC14" s="15" t="s">
        <v>21</v>
      </c>
      <c r="BD14" s="15" t="s">
        <v>21</v>
      </c>
      <c r="BE14" s="15" t="s">
        <v>21</v>
      </c>
      <c r="BF14" s="15" t="s">
        <v>21</v>
      </c>
      <c r="BG14" s="15" t="s">
        <v>21</v>
      </c>
      <c r="BH14" s="15" t="s">
        <v>21</v>
      </c>
      <c r="BI14" s="15" t="s">
        <v>21</v>
      </c>
      <c r="BJ14" s="15" t="s">
        <v>21</v>
      </c>
      <c r="BK14" s="15" t="s">
        <v>21</v>
      </c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</row>
    <row r="15">
      <c r="A15" s="13">
        <v>45779.0</v>
      </c>
      <c r="B15" s="14" t="s">
        <v>36</v>
      </c>
      <c r="C15" s="14" t="s">
        <v>23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AL15" s="17"/>
      <c r="AM15" s="15" t="s">
        <v>21</v>
      </c>
      <c r="AN15" s="15" t="s">
        <v>21</v>
      </c>
      <c r="AO15" s="15" t="s">
        <v>21</v>
      </c>
      <c r="AP15" s="15" t="s">
        <v>21</v>
      </c>
      <c r="AQ15" s="15" t="s">
        <v>21</v>
      </c>
      <c r="AR15" s="15" t="s">
        <v>21</v>
      </c>
      <c r="AS15" s="15" t="s">
        <v>21</v>
      </c>
      <c r="AT15" s="15" t="s">
        <v>21</v>
      </c>
      <c r="AU15" s="15" t="s">
        <v>21</v>
      </c>
      <c r="AV15" s="15" t="s">
        <v>21</v>
      </c>
      <c r="AW15" s="15" t="s">
        <v>21</v>
      </c>
      <c r="AX15" s="15" t="s">
        <v>21</v>
      </c>
      <c r="AY15" s="15" t="s">
        <v>21</v>
      </c>
      <c r="AZ15" s="15" t="s">
        <v>21</v>
      </c>
      <c r="BA15" s="15" t="s">
        <v>21</v>
      </c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6"/>
      <c r="CB15" s="16"/>
      <c r="CC15" s="16"/>
      <c r="CD15" s="16"/>
      <c r="CE15" s="16"/>
    </row>
    <row r="16">
      <c r="A16" s="13">
        <v>45810.0</v>
      </c>
      <c r="B16" s="14" t="s">
        <v>37</v>
      </c>
      <c r="C16" s="14" t="s">
        <v>31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AL16" s="17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16"/>
      <c r="AX16" s="16"/>
      <c r="AY16" s="16"/>
      <c r="AZ16" s="16"/>
      <c r="BA16" s="16"/>
      <c r="BB16" s="15" t="s">
        <v>21</v>
      </c>
      <c r="BC16" s="15" t="s">
        <v>21</v>
      </c>
      <c r="BD16" s="15" t="s">
        <v>21</v>
      </c>
      <c r="BE16" s="15" t="s">
        <v>21</v>
      </c>
      <c r="BF16" s="15" t="s">
        <v>21</v>
      </c>
      <c r="BG16" s="15" t="s">
        <v>21</v>
      </c>
      <c r="BH16" s="15" t="s">
        <v>21</v>
      </c>
      <c r="BI16" s="15" t="s">
        <v>21</v>
      </c>
      <c r="BJ16" s="15" t="s">
        <v>21</v>
      </c>
      <c r="BK16" s="15" t="s">
        <v>21</v>
      </c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6"/>
      <c r="BW16" s="16"/>
      <c r="BX16" s="16"/>
      <c r="BY16" s="16"/>
      <c r="BZ16" s="16"/>
      <c r="CA16" s="16"/>
      <c r="CB16" s="16"/>
      <c r="CC16" s="16"/>
      <c r="CD16" s="16"/>
      <c r="CE16" s="16"/>
    </row>
    <row r="17">
      <c r="A17" s="10" t="s">
        <v>38</v>
      </c>
      <c r="B17" s="11" t="s">
        <v>39</v>
      </c>
      <c r="C17" s="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8"/>
      <c r="BW17" s="18"/>
      <c r="BX17" s="18"/>
      <c r="BY17" s="18"/>
      <c r="BZ17" s="18"/>
      <c r="CA17" s="18"/>
      <c r="CB17" s="18"/>
      <c r="CC17" s="18"/>
      <c r="CD17" s="18"/>
      <c r="CE17" s="18"/>
    </row>
    <row r="18">
      <c r="A18" s="13">
        <v>45660.0</v>
      </c>
      <c r="B18" s="14" t="s">
        <v>40</v>
      </c>
      <c r="C18" s="14" t="s">
        <v>27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AL18" s="17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5" t="s">
        <v>21</v>
      </c>
      <c r="BM18" s="15" t="s">
        <v>21</v>
      </c>
      <c r="BN18" s="15" t="s">
        <v>21</v>
      </c>
      <c r="BO18" s="15" t="s">
        <v>21</v>
      </c>
      <c r="BP18" s="15" t="s">
        <v>21</v>
      </c>
      <c r="BQ18" s="15" t="s">
        <v>21</v>
      </c>
      <c r="BR18" s="15" t="s">
        <v>21</v>
      </c>
      <c r="BS18" s="15" t="s">
        <v>21</v>
      </c>
      <c r="BT18" s="15" t="s">
        <v>21</v>
      </c>
      <c r="BU18" s="15" t="s">
        <v>21</v>
      </c>
      <c r="BV18" s="16"/>
      <c r="BW18" s="16"/>
      <c r="BX18" s="16"/>
      <c r="BY18" s="16"/>
      <c r="BZ18" s="16"/>
      <c r="CA18" s="16"/>
      <c r="CB18" s="16"/>
      <c r="CC18" s="16"/>
      <c r="CD18" s="16"/>
      <c r="CE18" s="16"/>
    </row>
    <row r="19">
      <c r="A19" s="13">
        <v>45691.0</v>
      </c>
      <c r="B19" s="14" t="s">
        <v>41</v>
      </c>
      <c r="C19" s="14" t="s">
        <v>25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AL19" s="17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5" t="s">
        <v>21</v>
      </c>
      <c r="BW19" s="15" t="s">
        <v>21</v>
      </c>
      <c r="BX19" s="15" t="s">
        <v>21</v>
      </c>
      <c r="BY19" s="15" t="s">
        <v>21</v>
      </c>
      <c r="BZ19" s="15" t="s">
        <v>21</v>
      </c>
      <c r="CA19" s="19"/>
      <c r="CB19" s="19"/>
      <c r="CC19" s="19"/>
      <c r="CD19" s="19"/>
      <c r="CE19" s="19"/>
    </row>
    <row r="20">
      <c r="A20" s="13">
        <v>45719.0</v>
      </c>
      <c r="B20" s="14" t="s">
        <v>42</v>
      </c>
      <c r="C20" s="14" t="s">
        <v>20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AL20" s="17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5" t="s">
        <v>21</v>
      </c>
      <c r="CB20" s="15" t="s">
        <v>21</v>
      </c>
      <c r="CC20" s="15" t="s">
        <v>21</v>
      </c>
      <c r="CD20" s="15" t="s">
        <v>21</v>
      </c>
      <c r="CE20" s="15" t="s">
        <v>21</v>
      </c>
    </row>
    <row r="21">
      <c r="A21" s="16"/>
      <c r="B21" s="21" t="s">
        <v>43</v>
      </c>
      <c r="C21" s="14" t="s">
        <v>20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AL21" s="17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22" t="s">
        <v>21</v>
      </c>
    </row>
    <row r="22">
      <c r="A22" s="23" t="s">
        <v>44</v>
      </c>
      <c r="B22" s="5"/>
      <c r="C22" s="5"/>
      <c r="D22" s="5"/>
      <c r="E22" s="5"/>
      <c r="F22" s="5"/>
      <c r="G22" s="6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</row>
    <row r="23">
      <c r="A23" s="23" t="s">
        <v>45</v>
      </c>
      <c r="B23" s="5"/>
      <c r="C23" s="5"/>
      <c r="D23" s="5"/>
      <c r="E23" s="5"/>
      <c r="F23" s="5"/>
      <c r="G23" s="6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</row>
    <row r="24">
      <c r="A24" s="24" t="s">
        <v>46</v>
      </c>
      <c r="B24" s="5"/>
      <c r="C24" s="5"/>
      <c r="D24" s="5"/>
      <c r="E24" s="5"/>
      <c r="F24" s="5"/>
      <c r="G24" s="6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</row>
    <row r="25">
      <c r="A25" s="25"/>
      <c r="B25" s="25"/>
      <c r="C25" s="25"/>
      <c r="D25" s="25"/>
      <c r="E25" s="25"/>
      <c r="F25" s="25"/>
      <c r="G25" s="25"/>
    </row>
    <row r="27">
      <c r="E27" s="26">
        <f t="shared" ref="E27:E39" si="1">COUNTIF(D6:CE6,"X")</f>
        <v>10</v>
      </c>
      <c r="F27" s="26">
        <f t="shared" ref="F27:F39" si="2">8*E27</f>
        <v>80</v>
      </c>
    </row>
    <row r="28">
      <c r="E28" s="26">
        <f t="shared" si="1"/>
        <v>10</v>
      </c>
      <c r="F28" s="26">
        <f t="shared" si="2"/>
        <v>80</v>
      </c>
      <c r="J28" s="27" t="s">
        <v>47</v>
      </c>
      <c r="M28" s="27">
        <v>80.0</v>
      </c>
    </row>
    <row r="29">
      <c r="E29" s="26">
        <f t="shared" si="1"/>
        <v>10</v>
      </c>
      <c r="F29" s="26">
        <f t="shared" si="2"/>
        <v>80</v>
      </c>
      <c r="J29" s="27" t="s">
        <v>48</v>
      </c>
      <c r="O29" s="26">
        <f>J33</f>
        <v>384</v>
      </c>
    </row>
    <row r="30">
      <c r="E30" s="26">
        <f t="shared" si="1"/>
        <v>10</v>
      </c>
      <c r="F30" s="26">
        <f t="shared" si="2"/>
        <v>80</v>
      </c>
      <c r="J30" s="27" t="s">
        <v>49</v>
      </c>
      <c r="R30" s="26">
        <f>10*8</f>
        <v>80</v>
      </c>
    </row>
    <row r="31">
      <c r="E31" s="26">
        <f t="shared" si="1"/>
        <v>0</v>
      </c>
      <c r="F31" s="26">
        <f t="shared" si="2"/>
        <v>0</v>
      </c>
    </row>
    <row r="32">
      <c r="E32" s="26">
        <f t="shared" si="1"/>
        <v>4</v>
      </c>
      <c r="F32" s="26">
        <f t="shared" si="2"/>
        <v>32</v>
      </c>
    </row>
    <row r="33">
      <c r="E33" s="26">
        <f t="shared" si="1"/>
        <v>23</v>
      </c>
      <c r="F33" s="26">
        <f t="shared" si="2"/>
        <v>184</v>
      </c>
      <c r="I33" s="26">
        <f>E33+E35</f>
        <v>48</v>
      </c>
      <c r="J33" s="26">
        <f>I33*8</f>
        <v>384</v>
      </c>
    </row>
    <row r="34">
      <c r="E34" s="26">
        <f t="shared" si="1"/>
        <v>23</v>
      </c>
      <c r="F34" s="26">
        <f t="shared" si="2"/>
        <v>184</v>
      </c>
    </row>
    <row r="35">
      <c r="E35" s="26">
        <f t="shared" si="1"/>
        <v>25</v>
      </c>
      <c r="F35" s="26">
        <f t="shared" si="2"/>
        <v>200</v>
      </c>
    </row>
    <row r="36">
      <c r="E36" s="26">
        <f t="shared" si="1"/>
        <v>15</v>
      </c>
      <c r="F36" s="26">
        <f t="shared" si="2"/>
        <v>120</v>
      </c>
    </row>
    <row r="37">
      <c r="E37" s="26">
        <f t="shared" si="1"/>
        <v>10</v>
      </c>
      <c r="F37" s="26">
        <f t="shared" si="2"/>
        <v>80</v>
      </c>
    </row>
    <row r="38">
      <c r="E38" s="26">
        <f t="shared" si="1"/>
        <v>0</v>
      </c>
      <c r="F38" s="26">
        <f t="shared" si="2"/>
        <v>0</v>
      </c>
    </row>
    <row r="39">
      <c r="E39" s="26">
        <f t="shared" si="1"/>
        <v>10</v>
      </c>
      <c r="F39" s="26">
        <f t="shared" si="2"/>
        <v>80</v>
      </c>
    </row>
  </sheetData>
  <mergeCells count="31">
    <mergeCell ref="AR2:BK2"/>
    <mergeCell ref="BL2:CE2"/>
    <mergeCell ref="BV3:BZ3"/>
    <mergeCell ref="CA3:CE3"/>
    <mergeCell ref="B5:C5"/>
    <mergeCell ref="B10:C10"/>
    <mergeCell ref="B17:C17"/>
    <mergeCell ref="A22:G22"/>
    <mergeCell ref="A23:G23"/>
    <mergeCell ref="A24:G24"/>
    <mergeCell ref="A1:C1"/>
    <mergeCell ref="D1:CE1"/>
    <mergeCell ref="A2:A4"/>
    <mergeCell ref="B2:B4"/>
    <mergeCell ref="C2:C4"/>
    <mergeCell ref="D2:W2"/>
    <mergeCell ref="X2:AQ2"/>
    <mergeCell ref="D3:H3"/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BB3:BF3"/>
    <mergeCell ref="BG3:BK3"/>
    <mergeCell ref="BL3:BP3"/>
    <mergeCell ref="BQ3:BU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88"/>
    <col customWidth="1" min="4" max="4" width="13.13"/>
    <col customWidth="1" min="5" max="5" width="31.88"/>
  </cols>
  <sheetData>
    <row r="4">
      <c r="C4" s="28" t="s">
        <v>3</v>
      </c>
      <c r="D4" s="28" t="s">
        <v>50</v>
      </c>
      <c r="E4" s="28" t="s">
        <v>51</v>
      </c>
    </row>
    <row r="5">
      <c r="C5" s="29" t="s">
        <v>52</v>
      </c>
      <c r="D5" s="29">
        <v>3.0</v>
      </c>
      <c r="E5" s="29" t="s">
        <v>53</v>
      </c>
    </row>
    <row r="6">
      <c r="C6" s="29" t="s">
        <v>54</v>
      </c>
      <c r="D6" s="29">
        <v>4.0</v>
      </c>
      <c r="E6" s="29" t="s">
        <v>55</v>
      </c>
    </row>
    <row r="7">
      <c r="C7" s="29" t="s">
        <v>56</v>
      </c>
      <c r="D7" s="29">
        <v>3.0</v>
      </c>
      <c r="E7" s="29" t="s">
        <v>55</v>
      </c>
    </row>
    <row r="8">
      <c r="C8" s="29" t="s">
        <v>57</v>
      </c>
      <c r="D8" s="29">
        <v>3.0</v>
      </c>
      <c r="E8" s="29" t="s">
        <v>55</v>
      </c>
    </row>
    <row r="9">
      <c r="C9" s="29" t="s">
        <v>58</v>
      </c>
      <c r="D9" s="29">
        <v>4.0</v>
      </c>
      <c r="E9" s="29" t="s">
        <v>55</v>
      </c>
    </row>
    <row r="10">
      <c r="C10" s="29" t="s">
        <v>59</v>
      </c>
      <c r="D10" s="29">
        <v>5.0</v>
      </c>
      <c r="E10" s="29" t="s">
        <v>60</v>
      </c>
    </row>
    <row r="11">
      <c r="C11" s="29" t="s">
        <v>61</v>
      </c>
      <c r="D11" s="29">
        <v>4.0</v>
      </c>
      <c r="E11" s="29" t="s">
        <v>62</v>
      </c>
    </row>
    <row r="12">
      <c r="C12" s="29" t="s">
        <v>63</v>
      </c>
      <c r="D12" s="29">
        <v>3.0</v>
      </c>
      <c r="E12" s="29" t="s">
        <v>62</v>
      </c>
    </row>
    <row r="13">
      <c r="C13" s="29" t="s">
        <v>64</v>
      </c>
      <c r="D13" s="29">
        <v>4.0</v>
      </c>
      <c r="E13" s="29" t="s">
        <v>62</v>
      </c>
    </row>
    <row r="14">
      <c r="C14" s="29" t="s">
        <v>65</v>
      </c>
      <c r="D14" s="29">
        <v>2.0</v>
      </c>
      <c r="E14" s="29" t="s">
        <v>62</v>
      </c>
    </row>
    <row r="15">
      <c r="C15" s="29" t="s">
        <v>66</v>
      </c>
      <c r="D15" s="29">
        <v>3.0</v>
      </c>
      <c r="E15" s="29" t="s">
        <v>62</v>
      </c>
    </row>
    <row r="16">
      <c r="C16" s="29" t="s">
        <v>67</v>
      </c>
      <c r="D16" s="29">
        <v>2.0</v>
      </c>
      <c r="E16" s="29" t="s">
        <v>68</v>
      </c>
    </row>
    <row r="17">
      <c r="C17" s="29" t="s">
        <v>69</v>
      </c>
      <c r="D17" s="29">
        <v>5.0</v>
      </c>
      <c r="E17" s="29" t="s">
        <v>60</v>
      </c>
    </row>
    <row r="18">
      <c r="C18" s="29" t="s">
        <v>70</v>
      </c>
      <c r="D18" s="29">
        <v>4.0</v>
      </c>
      <c r="E18" s="29" t="s">
        <v>60</v>
      </c>
    </row>
    <row r="19">
      <c r="C19" s="29" t="s">
        <v>71</v>
      </c>
      <c r="D19" s="29">
        <v>6.0</v>
      </c>
      <c r="E19" s="29" t="s">
        <v>72</v>
      </c>
    </row>
    <row r="20">
      <c r="C20" s="29" t="s">
        <v>73</v>
      </c>
      <c r="D20" s="29">
        <v>4.0</v>
      </c>
      <c r="E20" s="29" t="s">
        <v>62</v>
      </c>
    </row>
    <row r="21">
      <c r="C21" s="29" t="s">
        <v>74</v>
      </c>
      <c r="D21" s="29">
        <v>3.0</v>
      </c>
      <c r="E21" s="29" t="s">
        <v>75</v>
      </c>
    </row>
    <row r="22">
      <c r="C22" s="29" t="s">
        <v>76</v>
      </c>
      <c r="D22" s="29">
        <v>3.0</v>
      </c>
      <c r="E22" s="29" t="s">
        <v>75</v>
      </c>
    </row>
    <row r="23">
      <c r="C23" s="29" t="s">
        <v>77</v>
      </c>
      <c r="D23" s="29">
        <v>5.0</v>
      </c>
      <c r="E23" s="29" t="s">
        <v>72</v>
      </c>
    </row>
    <row r="24">
      <c r="C24" s="29" t="s">
        <v>78</v>
      </c>
      <c r="D24" s="29">
        <v>3.0</v>
      </c>
      <c r="E24" s="29" t="s">
        <v>79</v>
      </c>
    </row>
    <row r="25">
      <c r="C25" s="29" t="s">
        <v>80</v>
      </c>
      <c r="D25" s="29">
        <v>2.0</v>
      </c>
      <c r="E25" s="29" t="s">
        <v>79</v>
      </c>
    </row>
    <row r="26">
      <c r="C26" s="29" t="s">
        <v>81</v>
      </c>
      <c r="D26" s="29">
        <v>4.0</v>
      </c>
      <c r="E26" s="29" t="s">
        <v>60</v>
      </c>
    </row>
    <row r="27">
      <c r="C27" s="29" t="s">
        <v>82</v>
      </c>
      <c r="D27" s="29">
        <v>5.0</v>
      </c>
      <c r="E27" s="29" t="s">
        <v>83</v>
      </c>
    </row>
    <row r="28">
      <c r="C28" s="29" t="s">
        <v>84</v>
      </c>
      <c r="D28" s="29">
        <v>3.0</v>
      </c>
      <c r="E28" s="29" t="s">
        <v>85</v>
      </c>
    </row>
    <row r="29">
      <c r="C29" s="29" t="s">
        <v>86</v>
      </c>
      <c r="D29" s="29">
        <v>5.0</v>
      </c>
      <c r="E29" s="29" t="s">
        <v>87</v>
      </c>
    </row>
    <row r="30">
      <c r="C30" s="29" t="s">
        <v>88</v>
      </c>
      <c r="D30" s="29">
        <v>5.0</v>
      </c>
      <c r="E30" s="29" t="s">
        <v>89</v>
      </c>
    </row>
    <row r="31">
      <c r="C31" s="29" t="s">
        <v>90</v>
      </c>
      <c r="D31" s="29">
        <v>3.0</v>
      </c>
      <c r="E31" s="29" t="s">
        <v>91</v>
      </c>
    </row>
    <row r="32">
      <c r="C32" s="29" t="s">
        <v>92</v>
      </c>
      <c r="D32" s="29">
        <v>1.0</v>
      </c>
      <c r="E32" s="29" t="s">
        <v>93</v>
      </c>
    </row>
  </sheetData>
  <drawing r:id="rId1"/>
</worksheet>
</file>